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andeshchaudhary/Desktop/Testing/"/>
    </mc:Choice>
  </mc:AlternateContent>
  <xr:revisionPtr revIDLastSave="0" documentId="13_ncr:1_{7E763EEF-BD8A-6C48-95F3-12AE64FE9819}" xr6:coauthVersionLast="47" xr6:coauthVersionMax="47" xr10:uidLastSave="{00000000-0000-0000-0000-000000000000}"/>
  <bookViews>
    <workbookView xWindow="0" yWindow="660" windowWidth="16380" windowHeight="8200" tabRatio="500" activeTab="1" xr2:uid="{00000000-000D-0000-FFFF-FFFF00000000}"/>
  </bookViews>
  <sheets>
    <sheet name="Test Cases" sheetId="1" r:id="rId1"/>
    <sheet name="Test Matrix" sheetId="2" r:id="rId2"/>
  </sheets>
  <definedNames>
    <definedName name="_xlnm._FilterDatabase" localSheetId="0" hidden="1">'Test Cases'!$A$1:$K$22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6" i="2" l="1"/>
  <c r="C16" i="2"/>
  <c r="B16" i="2"/>
  <c r="E16" i="2" s="1"/>
  <c r="D15" i="2"/>
  <c r="C15" i="2"/>
  <c r="B15" i="2"/>
  <c r="E15" i="2" s="1"/>
  <c r="D14" i="2"/>
  <c r="D17" i="2" s="1"/>
  <c r="C14" i="2"/>
  <c r="C17" i="2" s="1"/>
  <c r="B14" i="2"/>
  <c r="B17" i="2" s="1"/>
  <c r="D8" i="2"/>
  <c r="C8" i="2"/>
  <c r="B8" i="2"/>
  <c r="E8" i="2" s="1"/>
  <c r="D7" i="2"/>
  <c r="C7" i="2"/>
  <c r="B7" i="2"/>
  <c r="E7" i="2" s="1"/>
  <c r="D6" i="2"/>
  <c r="C6" i="2"/>
  <c r="B6" i="2"/>
  <c r="E6" i="2" s="1"/>
  <c r="D5" i="2"/>
  <c r="D9" i="2" s="1"/>
  <c r="C5" i="2"/>
  <c r="C9" i="2" s="1"/>
  <c r="B5" i="2"/>
  <c r="E5" i="2" s="1"/>
  <c r="E17" i="2" l="1"/>
  <c r="E14" i="2"/>
  <c r="B9" i="2"/>
  <c r="E9" i="2" s="1"/>
</calcChain>
</file>

<file path=xl/sharedStrings.xml><?xml version="1.0" encoding="utf-8"?>
<sst xmlns="http://schemas.openxmlformats.org/spreadsheetml/2006/main" count="272" uniqueCount="199">
  <si>
    <t>Test ID</t>
  </si>
  <si>
    <t>Objective</t>
  </si>
  <si>
    <t>Test Type</t>
  </si>
  <si>
    <t>Precondition</t>
  </si>
  <si>
    <t>Input</t>
  </si>
  <si>
    <t>Steps</t>
  </si>
  <si>
    <t>Expected Output</t>
  </si>
  <si>
    <t>Actual Output</t>
  </si>
  <si>
    <t>Pass/Fail</t>
  </si>
  <si>
    <t>Tester</t>
  </si>
  <si>
    <t>Date</t>
  </si>
  <si>
    <t>TC-01</t>
  </si>
  <si>
    <t>Validate login rejects empty password (Use Case: Login)</t>
  </si>
  <si>
    <t>Unit</t>
  </si>
  <si>
    <t>User has a registered account</t>
  </si>
  <si>
    <t>Username: student1; Password: (blank)</t>
  </si>
  <si>
    <t>1. Open login page 2. Enter username 3. Leave password blank 4. Click Login</t>
  </si>
  <si>
    <t>System shows 'Password is required' and blocks login</t>
  </si>
  <si>
    <t>Error shown as expected; login blocked</t>
  </si>
  <si>
    <t>Pass</t>
  </si>
  <si>
    <t>Student A</t>
  </si>
  <si>
    <t>TC-02</t>
  </si>
  <si>
    <t>Validate login rejects invalid credentials (Sequence: Verify credentials)</t>
  </si>
  <si>
    <t>User is on login page</t>
  </si>
  <si>
    <t>Username: student1; Password: wrongpass</t>
  </si>
  <si>
    <t>1. Enter valid username 2. Enter incorrect password 3. Click Login</t>
  </si>
  <si>
    <t>System shows 'Credentials invalid', does not display exam list</t>
  </si>
  <si>
    <t>Error shown; exam list not displayed</t>
  </si>
  <si>
    <t>Student B</t>
  </si>
  <si>
    <t>TC-03</t>
  </si>
  <si>
    <t>Validate exam timer countdown decrements correctly (Activity: Timer Starts)</t>
  </si>
  <si>
    <t>Exam session started with 60:00 duration</t>
  </si>
  <si>
    <t>N/A (timer component)</t>
  </si>
  <si>
    <t>1. Start exam 2. Observe timer for 60 seconds</t>
  </si>
  <si>
    <t>Timer decrements from 60:00 to 59:00 in exactly 60 real seconds</t>
  </si>
  <si>
    <t>Timer decremented correctly</t>
  </si>
  <si>
    <t>Student C</t>
  </si>
  <si>
    <t>TC-04</t>
  </si>
  <si>
    <t>Validate MCQ auto-grading logic for a single question (Sequence: Auto-grade MCQs)</t>
  </si>
  <si>
    <t>Question bank has 1 MCQ with known correct answer</t>
  </si>
  <si>
    <t>Selected option: correct answer</t>
  </si>
  <si>
    <t>1. Answer MCQ with correct option 2. Trigger Grading Engine</t>
  </si>
  <si>
    <t>Grading Engine awards full points for the question</t>
  </si>
  <si>
    <t>Full points awarded</t>
  </si>
  <si>
    <t>TC-05</t>
  </si>
  <si>
    <t>Validate randomized question pool has no duplicates (Class: Exam.randomizeQuestions())</t>
  </si>
  <si>
    <t>Question pool has 20 questions, exam requires 10</t>
  </si>
  <si>
    <t>N/A</t>
  </si>
  <si>
    <t>1. Call randomizeQuestions() for one student attempt 2. Inspect generated set</t>
  </si>
  <si>
    <t>10 unique questions returned, no duplicates</t>
  </si>
  <si>
    <t>10 unique questions returned</t>
  </si>
  <si>
    <t>TC-06</t>
  </si>
  <si>
    <t>Validate password field masks input (Use Case: Login)</t>
  </si>
  <si>
    <t>Password: 'Test@1234'</t>
  </si>
  <si>
    <t>1. Click password field 2. Type password</t>
  </si>
  <si>
    <t>Characters are masked (shown as dots/asterisks)</t>
  </si>
  <si>
    <t>Characters masked correctly</t>
  </si>
  <si>
    <t>TC-07</t>
  </si>
  <si>
    <t>Verify final submission correctly triggers Grading Engine (Sequence: Send submission for grading)</t>
  </si>
  <si>
    <t>Integration</t>
  </si>
  <si>
    <t>Student has completed all answers in an active exam</t>
  </si>
  <si>
    <t>Completed answer set for a 10-question MCQ exam</t>
  </si>
  <si>
    <t>1. Submit exam 2. Verify Exam System sends submission to Grading Engine 3. Verify Result record created in Database</t>
  </si>
  <si>
    <t>Submission passed to Grading Engine and a Result record is stored, linked to Submission ID</t>
  </si>
  <si>
    <t>Result record created and linked correctly</t>
  </si>
  <si>
    <t>TC-08</t>
  </si>
  <si>
    <t>Verify randomized question pool correctly feeds an exam session (Sequence: Fetch randomized question pool)</t>
  </si>
  <si>
    <t>Instructor has configured an exam with a defined question pool</t>
  </si>
  <si>
    <t>Exam ID with linked question pool of 20 questions</t>
  </si>
  <si>
    <t>1. Start exam session as student 2. Verify Database returns question set 3. Verify displayed questions match pool</t>
  </si>
  <si>
    <t>All displayed questions belong to the configured question pool for that exam</t>
  </si>
  <si>
    <t>Questions matched configured pool</t>
  </si>
  <si>
    <t>TC-09</t>
  </si>
  <si>
    <t>Verify auto-save persists each answer during the exam loop (Sequence: loop [Each question] -&gt; Auto-save answer)</t>
  </si>
  <si>
    <t>Student is mid-exam with at least 1 answered question</t>
  </si>
  <si>
    <t>Answer to Question 3 selected</t>
  </si>
  <si>
    <t>1. Answer a question 2. Wait for auto-save trigger 3. Query database for saved answer</t>
  </si>
  <si>
    <t>Answer is persisted in the database immediately after each submitted answer</t>
  </si>
  <si>
    <t>Answer persisted as expected</t>
  </si>
  <si>
    <t>TC-10</t>
  </si>
  <si>
    <t>Verify technical issue ticket links to the correct exam session and student (Use Case: Raise Technical Issue)</t>
  </si>
  <si>
    <t>Student is in an active exam session</t>
  </si>
  <si>
    <t>Issue description: 'Screen froze at Q5'</t>
  </si>
  <si>
    <t>1. Raise a technical issue ticket during exam 2. Check ticket record for session/student linkage</t>
  </si>
  <si>
    <t>Ticket is stored with correct student ID, exam session ID, and timestamp</t>
  </si>
  <si>
    <t>Ticket linked correctly with timestamp</t>
  </si>
  <si>
    <t>TC-11</t>
  </si>
  <si>
    <t>Verify instructor grading action updates the Result record (Class: Instructor.gradeSubjective())</t>
  </si>
  <si>
    <t>A subjective-answer submission is pending manual grading</t>
  </si>
  <si>
    <t>Instructor-assigned score: 8/10</t>
  </si>
  <si>
    <t>1. Instructor opens pending submission 2. Calls gradeSubjective(submissionId) 3. Saves grade</t>
  </si>
  <si>
    <t>Result record updates with instructor's score and status changes to 'Graded'</t>
  </si>
  <si>
    <t>Result updated to Graded with score 8/10</t>
  </si>
  <si>
    <t>TC-12</t>
  </si>
  <si>
    <t>Full end-to-end exam attempt from login to result display (Activity: full diagram flow)</t>
  </si>
  <si>
    <t>System</t>
  </si>
  <si>
    <t>Student account exists; exam is published and within its active window</t>
  </si>
  <si>
    <t>Valid login credentials; complete set of answers</t>
  </si>
  <si>
    <t>1. Log in 2. View available exams 3. Select and start exam 4. Answer all questions 5. Manual submit 6. View result</t>
  </si>
  <si>
    <t>Student logs in, completes exam, submits, and sees an accurate result within seconds</t>
  </si>
  <si>
    <t>Full flow completed; result displayed within 3 seconds</t>
  </si>
  <si>
    <t>TC-13</t>
  </si>
  <si>
    <t>Auto-submission triggers correctly when timer expires mid-exam (Sequence/Activity: alt [Time expires] -&gt; Trigger auto-submit)</t>
  </si>
  <si>
    <t>Student is mid-exam with unanswered questions remaining</t>
  </si>
  <si>
    <t>Exam duration: 5 minutes (test config); student leaves 2 questions unanswered</t>
  </si>
  <si>
    <t>1. Start exam 2. Answer partial questions 3. Allow timer to reach 00:00 without manual submit</t>
  </si>
  <si>
    <t>System auto-submits current answers exactly at timer expiry and proceeds to grading</t>
  </si>
  <si>
    <t>Auto-submit triggered at 00:00 as expected</t>
  </si>
  <si>
    <t>TC-14</t>
  </si>
  <si>
    <t>System handles 500 concurrent test-takers without failure (load simulation)</t>
  </si>
  <si>
    <t>Load-testing environment configured with 500 simulated users</t>
  </si>
  <si>
    <t>500 concurrent simulated login + exam-start requests</t>
  </si>
  <si>
    <t>1. Trigger simulated load of 500 concurrent sessions 2. Monitor response times and error rate</t>
  </si>
  <si>
    <t>Average response time stays under 2 seconds per action; no failed requests</t>
  </si>
  <si>
    <t>Avg response time 1.8s; 2 requests timed out</t>
  </si>
  <si>
    <t>Fail</t>
  </si>
  <si>
    <t>TC-15</t>
  </si>
  <si>
    <t>Instructor can monitor multiple active exam sessions simultaneously (Use Case: Monitor Exam Session)</t>
  </si>
  <si>
    <t>3 students are actively taking the same exam</t>
  </si>
  <si>
    <t>3 active exam sessions</t>
  </si>
  <si>
    <t>1. Instructor opens session monitor 2. Verify all 3 active sessions are visible with live status</t>
  </si>
  <si>
    <t>All active sessions display with correct student name, progress, and time remaining</t>
  </si>
  <si>
    <t>All 3 sessions displayed correctly</t>
  </si>
  <si>
    <t>TC-16</t>
  </si>
  <si>
    <t>Admin report generation reflects accurate pass/fail counts (Use Case: Generate Reports and Analytics)</t>
  </si>
  <si>
    <t>10 completed exam attempts exist with known scores</t>
  </si>
  <si>
    <t>Exam ID with 10 completed submissions (7 pass, 3 fail per pass mark)</t>
  </si>
  <si>
    <t>1. Admin generates exam report 2. Compare pass/fail counts to known dataset</t>
  </si>
  <si>
    <t>Report shows 7 pass, 3 fail, matching source data exactly</t>
  </si>
  <si>
    <t>Report matched exactly (7 pass, 3 fail)</t>
  </si>
  <si>
    <t>TC-17</t>
  </si>
  <si>
    <t>Instructor confirms exam creation flow matches real workflow expectations (Use Case: Create/Configure Exam)</t>
  </si>
  <si>
    <t>UAT</t>
  </si>
  <si>
    <t>Instructor persona has access to exam creation module</t>
  </si>
  <si>
    <t>New exam: 'Midterm - Data Structures', 20 MCQs, 60 min</t>
  </si>
  <si>
    <t>1. Instructor creates a new exam using createExam() 2. Instructor reviews flow against their normal process</t>
  </si>
  <si>
    <t>Instructor confirms the flow (add title, set duration, add questions, publish) matches expected real-world workflow</t>
  </si>
  <si>
    <t>Instructor confirmed flow matched expectations</t>
  </si>
  <si>
    <t>TC-18</t>
  </si>
  <si>
    <t>Student confirms exam-taking experience feels fair and clear (Use Case: Take Exam)</t>
  </si>
  <si>
    <t>Student persona completes a full mock exam</t>
  </si>
  <si>
    <t>Mock exam with visible timer and progress indicator</t>
  </si>
  <si>
    <t>1. Student takes mock exam end-to-end 2. Student provides feedback on clarity/fairness</t>
  </si>
  <si>
    <t>Student confirms timer visibility, question clarity, and submit process feel clear and fair</t>
  </si>
  <si>
    <t>Student confirmed experience was clear</t>
  </si>
  <si>
    <t>TC-19</t>
  </si>
  <si>
    <t>Admin confirms exported report is usable for departmental sharing (Use Case: Generate Reports and Analytics)</t>
  </si>
  <si>
    <t>Admin persona has generated a report for a completed exam</t>
  </si>
  <si>
    <t>Generated report in exportable format</t>
  </si>
  <si>
    <t>1. Admin exports exam report 2. Admin reviews exported file for completeness/readability</t>
  </si>
  <si>
    <t>Admin confirms exported report contains all needed fields (scores, pass rate, per-question breakdown) and is ready to share</t>
  </si>
  <si>
    <t>Admin confirmed report was complete and shareable</t>
  </si>
  <si>
    <t>TC-20</t>
  </si>
  <si>
    <t>Student confirms raising a technical issue ticket during exam is discoverable and easy (Use Case: Raise Technical Issue)</t>
  </si>
  <si>
    <t>Student persona is mid-mock-exam</t>
  </si>
  <si>
    <t>Simulated technical disruption</t>
  </si>
  <si>
    <t>1. Student attempts to locate and use the 'Raise Issue' option during exam 2. Student rates ease of use</t>
  </si>
  <si>
    <t>Student locates the option without help and successfully logs a ticket</t>
  </si>
  <si>
    <t>Student located option in under 10 seconds and logged ticket</t>
  </si>
  <si>
    <t>TC-21</t>
  </si>
  <si>
    <t>Instructor confirms subjective-answer grading workflow matches expectations (Use Case: Grade Subjective Answers)</t>
  </si>
  <si>
    <t>Instructor persona has pending subjective submissions to grade</t>
  </si>
  <si>
    <t>One subjective submission awaiting review</t>
  </si>
  <si>
    <t>1. Instructor opens pending submission 2. Instructor grades and saves 3. Instructor reviews process against expectations</t>
  </si>
  <si>
    <t>Instructor confirms grading workflow (open, review, score, save) is intuitive and matches real usage</t>
  </si>
  <si>
    <t>Instructor confirmed workflow was intuitive</t>
  </si>
  <si>
    <t>Test Matrix Summary — Online Examination Process</t>
  </si>
  <si>
    <t>Auto-calculated from the 'Test Cases' sheet</t>
  </si>
  <si>
    <t>Total Cases</t>
  </si>
  <si>
    <t>Passed</t>
  </si>
  <si>
    <t>Failed</t>
  </si>
  <si>
    <t>Pass Rate (%)</t>
  </si>
  <si>
    <t>Total</t>
  </si>
  <si>
    <t>Coverage by Student</t>
  </si>
  <si>
    <t>Cases Assigned</t>
  </si>
  <si>
    <t>Feature Coverage Checklist (mapped to UML diagrams)</t>
  </si>
  <si>
    <t>Feature (from Use Case Diagram)</t>
  </si>
  <si>
    <t>Covered By</t>
  </si>
  <si>
    <t>Login / Authentication</t>
  </si>
  <si>
    <t>TC-01, TC-02, TC-06, TC-12</t>
  </si>
  <si>
    <t>View Exam Schedule</t>
  </si>
  <si>
    <t>Take Exam (timer, auto-save, submit)</t>
  </si>
  <si>
    <t>TC-03, TC-09, TC-12, TC-13</t>
  </si>
  <si>
    <t>Auto-Submission</t>
  </si>
  <si>
    <t>View Results</t>
  </si>
  <si>
    <t>Raise Technical Issue</t>
  </si>
  <si>
    <t>TC-10, TC-20</t>
  </si>
  <si>
    <t>Create / Configure Exam</t>
  </si>
  <si>
    <t>Set Randomized Question Pool</t>
  </si>
  <si>
    <t>TC-05, TC-08</t>
  </si>
  <si>
    <t>Monitor Exam Session</t>
  </si>
  <si>
    <t>Grade Subjective Answers</t>
  </si>
  <si>
    <t>TC-11, TC-21</t>
  </si>
  <si>
    <t>Grading / Result Generation</t>
  </si>
  <si>
    <t>TC-04, TC-07, TC-12, TC-16</t>
  </si>
  <si>
    <t>Manage User Accounts</t>
  </si>
  <si>
    <t>(Admin — recommend adding TC-22)</t>
  </si>
  <si>
    <t>Generate Reports and Analytics</t>
  </si>
  <si>
    <t>TC-16, TC-19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</si>
</sst>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%"/>
  </numFmts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3"/>
      <name val="Arial"/>
      <family val="2"/>
    </font>
    <font>
      <i/>
      <sz val="9"/>
      <color rgb="FF555555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BDD7EE"/>
        <bgColor rgb="FFD9D2E9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F8CBAD"/>
      </patternFill>
    </fill>
    <fill>
      <patternFill patternType="solid">
        <fgColor rgb="FFD9D2E9"/>
        <bgColor rgb="FFD9D9D9"/>
      </patternFill>
    </fill>
    <fill>
      <patternFill patternType="solid">
        <fgColor rgb="FFF8CBAD"/>
        <bgColor rgb="FFFFE699"/>
      </patternFill>
    </fill>
    <fill>
      <patternFill patternType="solid">
        <fgColor rgb="FFE7E6E6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165" fontId="3" fillId="8" borderId="1" xfId="0" applyNumberFormat="1" applyFont="1" applyFill="1" applyBorder="1" applyAlignment="1">
      <alignment horizontal="center"/>
    </xf>
    <xf numFmtId="0" fontId="3" fillId="0" borderId="0" xfId="0" applyFont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BDD7EE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9" customWidth="1"/>
    <col min="2" max="2" width="42" customWidth="1"/>
    <col min="3" max="3" width="12" customWidth="1"/>
    <col min="4" max="4" width="30" customWidth="1"/>
    <col min="5" max="5" width="28" customWidth="1"/>
    <col min="6" max="6" width="40" customWidth="1"/>
    <col min="7" max="7" width="42" customWidth="1"/>
    <col min="8" max="8" width="30" customWidth="1"/>
    <col min="9" max="9" width="10" customWidth="1"/>
    <col min="10" max="10" width="11" customWidth="1"/>
    <col min="11" max="11" width="12" customWidth="1"/>
  </cols>
  <sheetData>
    <row r="1" spans="1:11" ht="30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28" x14ac:dyDescent="0.2">
      <c r="A2" s="4" t="s">
        <v>11</v>
      </c>
      <c r="B2" s="4" t="s">
        <v>12</v>
      </c>
      <c r="C2" s="5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6" t="s">
        <v>19</v>
      </c>
      <c r="J2" s="7" t="s">
        <v>20</v>
      </c>
      <c r="K2" s="8">
        <v>46248</v>
      </c>
    </row>
    <row r="3" spans="1:11" ht="28" x14ac:dyDescent="0.2">
      <c r="A3" s="4" t="s">
        <v>21</v>
      </c>
      <c r="B3" s="4" t="s">
        <v>22</v>
      </c>
      <c r="C3" s="5" t="s">
        <v>13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6" t="s">
        <v>19</v>
      </c>
      <c r="J3" s="5" t="s">
        <v>28</v>
      </c>
      <c r="K3" s="8">
        <v>46249</v>
      </c>
    </row>
    <row r="4" spans="1:11" ht="28" x14ac:dyDescent="0.2">
      <c r="A4" s="4" t="s">
        <v>29</v>
      </c>
      <c r="B4" s="4" t="s">
        <v>30</v>
      </c>
      <c r="C4" s="5" t="s">
        <v>13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6" t="s">
        <v>19</v>
      </c>
      <c r="J4" s="9" t="s">
        <v>36</v>
      </c>
      <c r="K4" s="8">
        <v>46250</v>
      </c>
    </row>
    <row r="5" spans="1:11" ht="28" x14ac:dyDescent="0.2">
      <c r="A5" s="4" t="s">
        <v>37</v>
      </c>
      <c r="B5" s="4" t="s">
        <v>38</v>
      </c>
      <c r="C5" s="5" t="s">
        <v>13</v>
      </c>
      <c r="D5" s="4" t="s">
        <v>39</v>
      </c>
      <c r="E5" s="4" t="s">
        <v>40</v>
      </c>
      <c r="F5" s="4" t="s">
        <v>41</v>
      </c>
      <c r="G5" s="4" t="s">
        <v>42</v>
      </c>
      <c r="H5" s="4" t="s">
        <v>43</v>
      </c>
      <c r="I5" s="6" t="s">
        <v>19</v>
      </c>
      <c r="J5" s="7" t="s">
        <v>20</v>
      </c>
      <c r="K5" s="8">
        <v>46251</v>
      </c>
    </row>
    <row r="6" spans="1:11" ht="28" x14ac:dyDescent="0.2">
      <c r="A6" s="4" t="s">
        <v>44</v>
      </c>
      <c r="B6" s="4" t="s">
        <v>45</v>
      </c>
      <c r="C6" s="5" t="s">
        <v>13</v>
      </c>
      <c r="D6" s="4" t="s">
        <v>46</v>
      </c>
      <c r="E6" s="4" t="s">
        <v>47</v>
      </c>
      <c r="F6" s="4" t="s">
        <v>48</v>
      </c>
      <c r="G6" s="4" t="s">
        <v>49</v>
      </c>
      <c r="H6" s="4" t="s">
        <v>50</v>
      </c>
      <c r="I6" s="6" t="s">
        <v>19</v>
      </c>
      <c r="J6" s="5" t="s">
        <v>28</v>
      </c>
      <c r="K6" s="8">
        <v>46252</v>
      </c>
    </row>
    <row r="7" spans="1:11" ht="28" x14ac:dyDescent="0.2">
      <c r="A7" s="4" t="s">
        <v>51</v>
      </c>
      <c r="B7" s="4" t="s">
        <v>52</v>
      </c>
      <c r="C7" s="5" t="s">
        <v>13</v>
      </c>
      <c r="D7" s="4" t="s">
        <v>23</v>
      </c>
      <c r="E7" s="4" t="s">
        <v>53</v>
      </c>
      <c r="F7" s="4" t="s">
        <v>54</v>
      </c>
      <c r="G7" s="4" t="s">
        <v>55</v>
      </c>
      <c r="H7" s="4" t="s">
        <v>56</v>
      </c>
      <c r="I7" s="6" t="s">
        <v>19</v>
      </c>
      <c r="J7" s="9" t="s">
        <v>36</v>
      </c>
      <c r="K7" s="8">
        <v>46253</v>
      </c>
    </row>
    <row r="8" spans="1:11" ht="42" x14ac:dyDescent="0.2">
      <c r="A8" s="4" t="s">
        <v>57</v>
      </c>
      <c r="B8" s="4" t="s">
        <v>58</v>
      </c>
      <c r="C8" s="9" t="s">
        <v>59</v>
      </c>
      <c r="D8" s="4" t="s">
        <v>60</v>
      </c>
      <c r="E8" s="4" t="s">
        <v>61</v>
      </c>
      <c r="F8" s="4" t="s">
        <v>62</v>
      </c>
      <c r="G8" s="4" t="s">
        <v>63</v>
      </c>
      <c r="H8" s="4" t="s">
        <v>64</v>
      </c>
      <c r="I8" s="6" t="s">
        <v>19</v>
      </c>
      <c r="J8" s="7" t="s">
        <v>20</v>
      </c>
      <c r="K8" s="8">
        <v>46248</v>
      </c>
    </row>
    <row r="9" spans="1:11" ht="42" x14ac:dyDescent="0.2">
      <c r="A9" s="4" t="s">
        <v>65</v>
      </c>
      <c r="B9" s="4" t="s">
        <v>66</v>
      </c>
      <c r="C9" s="9" t="s">
        <v>59</v>
      </c>
      <c r="D9" s="4" t="s">
        <v>67</v>
      </c>
      <c r="E9" s="4" t="s">
        <v>68</v>
      </c>
      <c r="F9" s="4" t="s">
        <v>69</v>
      </c>
      <c r="G9" s="4" t="s">
        <v>70</v>
      </c>
      <c r="H9" s="4" t="s">
        <v>71</v>
      </c>
      <c r="I9" s="6" t="s">
        <v>19</v>
      </c>
      <c r="J9" s="5" t="s">
        <v>28</v>
      </c>
      <c r="K9" s="8">
        <v>46249</v>
      </c>
    </row>
    <row r="10" spans="1:11" ht="42" x14ac:dyDescent="0.2">
      <c r="A10" s="4" t="s">
        <v>72</v>
      </c>
      <c r="B10" s="4" t="s">
        <v>73</v>
      </c>
      <c r="C10" s="9" t="s">
        <v>59</v>
      </c>
      <c r="D10" s="4" t="s">
        <v>74</v>
      </c>
      <c r="E10" s="4" t="s">
        <v>75</v>
      </c>
      <c r="F10" s="4" t="s">
        <v>76</v>
      </c>
      <c r="G10" s="4" t="s">
        <v>77</v>
      </c>
      <c r="H10" s="4" t="s">
        <v>78</v>
      </c>
      <c r="I10" s="6" t="s">
        <v>19</v>
      </c>
      <c r="J10" s="9" t="s">
        <v>36</v>
      </c>
      <c r="K10" s="8">
        <v>46250</v>
      </c>
    </row>
    <row r="11" spans="1:11" ht="42" x14ac:dyDescent="0.2">
      <c r="A11" s="4" t="s">
        <v>79</v>
      </c>
      <c r="B11" s="4" t="s">
        <v>80</v>
      </c>
      <c r="C11" s="9" t="s">
        <v>59</v>
      </c>
      <c r="D11" s="4" t="s">
        <v>81</v>
      </c>
      <c r="E11" s="4" t="s">
        <v>82</v>
      </c>
      <c r="F11" s="4" t="s">
        <v>83</v>
      </c>
      <c r="G11" s="4" t="s">
        <v>84</v>
      </c>
      <c r="H11" s="4" t="s">
        <v>85</v>
      </c>
      <c r="I11" s="6" t="s">
        <v>19</v>
      </c>
      <c r="J11" s="7" t="s">
        <v>20</v>
      </c>
      <c r="K11" s="8">
        <v>46251</v>
      </c>
    </row>
    <row r="12" spans="1:11" ht="28" x14ac:dyDescent="0.2">
      <c r="A12" s="4" t="s">
        <v>86</v>
      </c>
      <c r="B12" s="4" t="s">
        <v>87</v>
      </c>
      <c r="C12" s="9" t="s">
        <v>59</v>
      </c>
      <c r="D12" s="4" t="s">
        <v>88</v>
      </c>
      <c r="E12" s="4" t="s">
        <v>89</v>
      </c>
      <c r="F12" s="4" t="s">
        <v>90</v>
      </c>
      <c r="G12" s="4" t="s">
        <v>91</v>
      </c>
      <c r="H12" s="4" t="s">
        <v>92</v>
      </c>
      <c r="I12" s="6" t="s">
        <v>19</v>
      </c>
      <c r="J12" s="5" t="s">
        <v>28</v>
      </c>
      <c r="K12" s="8">
        <v>46252</v>
      </c>
    </row>
    <row r="13" spans="1:11" ht="42" x14ac:dyDescent="0.2">
      <c r="A13" s="4" t="s">
        <v>93</v>
      </c>
      <c r="B13" s="4" t="s">
        <v>94</v>
      </c>
      <c r="C13" s="10" t="s">
        <v>95</v>
      </c>
      <c r="D13" s="4" t="s">
        <v>96</v>
      </c>
      <c r="E13" s="4" t="s">
        <v>97</v>
      </c>
      <c r="F13" s="4" t="s">
        <v>98</v>
      </c>
      <c r="G13" s="4" t="s">
        <v>99</v>
      </c>
      <c r="H13" s="4" t="s">
        <v>100</v>
      </c>
      <c r="I13" s="6" t="s">
        <v>19</v>
      </c>
      <c r="J13" s="9" t="s">
        <v>36</v>
      </c>
      <c r="K13" s="8">
        <v>46253</v>
      </c>
    </row>
    <row r="14" spans="1:11" ht="42" x14ac:dyDescent="0.2">
      <c r="A14" s="4" t="s">
        <v>101</v>
      </c>
      <c r="B14" s="4" t="s">
        <v>102</v>
      </c>
      <c r="C14" s="10" t="s">
        <v>95</v>
      </c>
      <c r="D14" s="4" t="s">
        <v>103</v>
      </c>
      <c r="E14" s="4" t="s">
        <v>104</v>
      </c>
      <c r="F14" s="4" t="s">
        <v>105</v>
      </c>
      <c r="G14" s="4" t="s">
        <v>106</v>
      </c>
      <c r="H14" s="4" t="s">
        <v>107</v>
      </c>
      <c r="I14" s="6" t="s">
        <v>19</v>
      </c>
      <c r="J14" s="7" t="s">
        <v>20</v>
      </c>
      <c r="K14" s="8">
        <v>46248</v>
      </c>
    </row>
    <row r="15" spans="1:11" ht="28" x14ac:dyDescent="0.2">
      <c r="A15" s="4" t="s">
        <v>108</v>
      </c>
      <c r="B15" s="4" t="s">
        <v>109</v>
      </c>
      <c r="C15" s="10" t="s">
        <v>95</v>
      </c>
      <c r="D15" s="4" t="s">
        <v>110</v>
      </c>
      <c r="E15" s="4" t="s">
        <v>111</v>
      </c>
      <c r="F15" s="4" t="s">
        <v>112</v>
      </c>
      <c r="G15" s="4" t="s">
        <v>113</v>
      </c>
      <c r="H15" s="4" t="s">
        <v>114</v>
      </c>
      <c r="I15" s="11" t="s">
        <v>115</v>
      </c>
      <c r="J15" s="5" t="s">
        <v>28</v>
      </c>
      <c r="K15" s="8">
        <v>46249</v>
      </c>
    </row>
    <row r="16" spans="1:11" ht="28" x14ac:dyDescent="0.2">
      <c r="A16" s="4" t="s">
        <v>116</v>
      </c>
      <c r="B16" s="4" t="s">
        <v>117</v>
      </c>
      <c r="C16" s="10" t="s">
        <v>95</v>
      </c>
      <c r="D16" s="4" t="s">
        <v>118</v>
      </c>
      <c r="E16" s="4" t="s">
        <v>119</v>
      </c>
      <c r="F16" s="4" t="s">
        <v>120</v>
      </c>
      <c r="G16" s="4" t="s">
        <v>121</v>
      </c>
      <c r="H16" s="4" t="s">
        <v>122</v>
      </c>
      <c r="I16" s="6" t="s">
        <v>19</v>
      </c>
      <c r="J16" s="9" t="s">
        <v>36</v>
      </c>
      <c r="K16" s="8">
        <v>46250</v>
      </c>
    </row>
    <row r="17" spans="1:11" ht="42" x14ac:dyDescent="0.2">
      <c r="A17" s="4" t="s">
        <v>123</v>
      </c>
      <c r="B17" s="4" t="s">
        <v>124</v>
      </c>
      <c r="C17" s="10" t="s">
        <v>95</v>
      </c>
      <c r="D17" s="4" t="s">
        <v>125</v>
      </c>
      <c r="E17" s="4" t="s">
        <v>126</v>
      </c>
      <c r="F17" s="4" t="s">
        <v>127</v>
      </c>
      <c r="G17" s="4" t="s">
        <v>128</v>
      </c>
      <c r="H17" s="4" t="s">
        <v>129</v>
      </c>
      <c r="I17" s="6" t="s">
        <v>19</v>
      </c>
      <c r="J17" s="7" t="s">
        <v>20</v>
      </c>
      <c r="K17" s="8">
        <v>46251</v>
      </c>
    </row>
    <row r="18" spans="1:11" ht="42" x14ac:dyDescent="0.2">
      <c r="A18" s="4" t="s">
        <v>130</v>
      </c>
      <c r="B18" s="4" t="s">
        <v>131</v>
      </c>
      <c r="C18" s="7" t="s">
        <v>132</v>
      </c>
      <c r="D18" s="4" t="s">
        <v>133</v>
      </c>
      <c r="E18" s="4" t="s">
        <v>134</v>
      </c>
      <c r="F18" s="4" t="s">
        <v>135</v>
      </c>
      <c r="G18" s="4" t="s">
        <v>136</v>
      </c>
      <c r="H18" s="4" t="s">
        <v>137</v>
      </c>
      <c r="I18" s="6" t="s">
        <v>19</v>
      </c>
      <c r="J18" s="5" t="s">
        <v>28</v>
      </c>
      <c r="K18" s="8">
        <v>46252</v>
      </c>
    </row>
    <row r="19" spans="1:11" ht="28" x14ac:dyDescent="0.2">
      <c r="A19" s="4" t="s">
        <v>138</v>
      </c>
      <c r="B19" s="4" t="s">
        <v>139</v>
      </c>
      <c r="C19" s="7" t="s">
        <v>132</v>
      </c>
      <c r="D19" s="4" t="s">
        <v>140</v>
      </c>
      <c r="E19" s="4" t="s">
        <v>141</v>
      </c>
      <c r="F19" s="4" t="s">
        <v>142</v>
      </c>
      <c r="G19" s="4" t="s">
        <v>143</v>
      </c>
      <c r="H19" s="4" t="s">
        <v>144</v>
      </c>
      <c r="I19" s="6" t="s">
        <v>19</v>
      </c>
      <c r="J19" s="9" t="s">
        <v>36</v>
      </c>
      <c r="K19" s="8">
        <v>46253</v>
      </c>
    </row>
    <row r="20" spans="1:11" ht="42" x14ac:dyDescent="0.2">
      <c r="A20" s="4" t="s">
        <v>145</v>
      </c>
      <c r="B20" s="4" t="s">
        <v>146</v>
      </c>
      <c r="C20" s="7" t="s">
        <v>132</v>
      </c>
      <c r="D20" s="4" t="s">
        <v>147</v>
      </c>
      <c r="E20" s="4" t="s">
        <v>148</v>
      </c>
      <c r="F20" s="4" t="s">
        <v>149</v>
      </c>
      <c r="G20" s="4" t="s">
        <v>150</v>
      </c>
      <c r="H20" s="4" t="s">
        <v>151</v>
      </c>
      <c r="I20" s="6" t="s">
        <v>19</v>
      </c>
      <c r="J20" s="7" t="s">
        <v>20</v>
      </c>
      <c r="K20" s="8">
        <v>46248</v>
      </c>
    </row>
    <row r="21" spans="1:11" ht="42" x14ac:dyDescent="0.2">
      <c r="A21" s="4" t="s">
        <v>152</v>
      </c>
      <c r="B21" s="4" t="s">
        <v>153</v>
      </c>
      <c r="C21" s="7" t="s">
        <v>132</v>
      </c>
      <c r="D21" s="4" t="s">
        <v>154</v>
      </c>
      <c r="E21" s="4" t="s">
        <v>155</v>
      </c>
      <c r="F21" s="4" t="s">
        <v>156</v>
      </c>
      <c r="G21" s="4" t="s">
        <v>157</v>
      </c>
      <c r="H21" s="4" t="s">
        <v>158</v>
      </c>
      <c r="I21" s="6" t="s">
        <v>19</v>
      </c>
      <c r="J21" s="5" t="s">
        <v>28</v>
      </c>
      <c r="K21" s="8">
        <v>46249</v>
      </c>
    </row>
    <row r="22" spans="1:11" ht="42" x14ac:dyDescent="0.2">
      <c r="A22" s="4" t="s">
        <v>159</v>
      </c>
      <c r="B22" s="4" t="s">
        <v>160</v>
      </c>
      <c r="C22" s="7" t="s">
        <v>132</v>
      </c>
      <c r="D22" s="4" t="s">
        <v>161</v>
      </c>
      <c r="E22" s="4" t="s">
        <v>162</v>
      </c>
      <c r="F22" s="4" t="s">
        <v>163</v>
      </c>
      <c r="G22" s="4" t="s">
        <v>164</v>
      </c>
      <c r="H22" s="4" t="s">
        <v>165</v>
      </c>
      <c r="I22" s="6" t="s">
        <v>19</v>
      </c>
      <c r="J22" s="9" t="s">
        <v>36</v>
      </c>
      <c r="K22" s="8">
        <v>46250</v>
      </c>
    </row>
  </sheetData>
  <autoFilter ref="A1:K22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tabSelected="1" zoomScaleNormal="100" workbookViewId="0"/>
  </sheetViews>
  <sheetFormatPr baseColWidth="10" defaultColWidth="8.6640625" defaultRowHeight="15" x14ac:dyDescent="0.2"/>
  <cols>
    <col min="1" max="1" width="55.33203125" customWidth="1"/>
    <col min="2" max="2" width="15" customWidth="1"/>
    <col min="3" max="4" width="10" customWidth="1"/>
    <col min="5" max="5" width="14" customWidth="1"/>
  </cols>
  <sheetData>
    <row r="1" spans="1:5" ht="17" x14ac:dyDescent="0.2">
      <c r="A1" s="12" t="s">
        <v>166</v>
      </c>
    </row>
    <row r="2" spans="1:5" x14ac:dyDescent="0.2">
      <c r="A2" s="13" t="s">
        <v>167</v>
      </c>
    </row>
    <row r="4" spans="1:5" x14ac:dyDescent="0.2">
      <c r="A4" s="14" t="s">
        <v>2</v>
      </c>
      <c r="B4" s="14" t="s">
        <v>168</v>
      </c>
      <c r="C4" s="14" t="s">
        <v>169</v>
      </c>
      <c r="D4" s="14" t="s">
        <v>170</v>
      </c>
      <c r="E4" s="14" t="s">
        <v>171</v>
      </c>
    </row>
    <row r="5" spans="1:5" x14ac:dyDescent="0.2">
      <c r="A5" s="15" t="s">
        <v>13</v>
      </c>
      <c r="B5" s="16">
        <f>COUNTIF('Test Cases'!C:C,A5)</f>
        <v>6</v>
      </c>
      <c r="C5" s="16">
        <f>COUNTIFS('Test Cases'!C:C,A5,'Test Cases'!I:I,"Pass")</f>
        <v>6</v>
      </c>
      <c r="D5" s="16">
        <f>COUNTIFS('Test Cases'!C:C,A5,'Test Cases'!I:I,"Fail")</f>
        <v>0</v>
      </c>
      <c r="E5" s="17">
        <f>IF(B5=0,0,C5/B5)</f>
        <v>1</v>
      </c>
    </row>
    <row r="6" spans="1:5" x14ac:dyDescent="0.2">
      <c r="A6" s="18" t="s">
        <v>59</v>
      </c>
      <c r="B6" s="16">
        <f>COUNTIF('Test Cases'!C:C,A6)</f>
        <v>5</v>
      </c>
      <c r="C6" s="16">
        <f>COUNTIFS('Test Cases'!C:C,A6,'Test Cases'!I:I,"Pass")</f>
        <v>5</v>
      </c>
      <c r="D6" s="16">
        <f>COUNTIFS('Test Cases'!C:C,A6,'Test Cases'!I:I,"Fail")</f>
        <v>0</v>
      </c>
      <c r="E6" s="17">
        <f>IF(B6=0,0,C6/B6)</f>
        <v>1</v>
      </c>
    </row>
    <row r="7" spans="1:5" x14ac:dyDescent="0.2">
      <c r="A7" s="19" t="s">
        <v>95</v>
      </c>
      <c r="B7" s="16">
        <f>COUNTIF('Test Cases'!C:C,A7)</f>
        <v>5</v>
      </c>
      <c r="C7" s="16">
        <f>COUNTIFS('Test Cases'!C:C,A7,'Test Cases'!I:I,"Pass")</f>
        <v>4</v>
      </c>
      <c r="D7" s="16">
        <f>COUNTIFS('Test Cases'!C:C,A7,'Test Cases'!I:I,"Fail")</f>
        <v>1</v>
      </c>
      <c r="E7" s="17">
        <f>IF(B7=0,0,C7/B7)</f>
        <v>0.8</v>
      </c>
    </row>
    <row r="8" spans="1:5" x14ac:dyDescent="0.2">
      <c r="A8" s="20" t="s">
        <v>132</v>
      </c>
      <c r="B8" s="16">
        <f>COUNTIF('Test Cases'!C:C,A8)</f>
        <v>5</v>
      </c>
      <c r="C8" s="16">
        <f>COUNTIFS('Test Cases'!C:C,A8,'Test Cases'!I:I,"Pass")</f>
        <v>5</v>
      </c>
      <c r="D8" s="16">
        <f>COUNTIFS('Test Cases'!C:C,A8,'Test Cases'!I:I,"Fail")</f>
        <v>0</v>
      </c>
      <c r="E8" s="17">
        <f>IF(B8=0,0,C8/B8)</f>
        <v>1</v>
      </c>
    </row>
    <row r="9" spans="1:5" x14ac:dyDescent="0.2">
      <c r="A9" s="21" t="s">
        <v>172</v>
      </c>
      <c r="B9" s="21">
        <f>SUM(B5:B8)</f>
        <v>21</v>
      </c>
      <c r="C9" s="21">
        <f>SUM(C5:C8)</f>
        <v>20</v>
      </c>
      <c r="D9" s="21">
        <f>SUM(D5:D8)</f>
        <v>1</v>
      </c>
      <c r="E9" s="22">
        <f>IF(B9=0,0,C9/B9)</f>
        <v>0.95238095238095233</v>
      </c>
    </row>
    <row r="12" spans="1:5" x14ac:dyDescent="0.2">
      <c r="A12" s="23" t="s">
        <v>173</v>
      </c>
    </row>
    <row r="13" spans="1:5" x14ac:dyDescent="0.2">
      <c r="A13" s="14" t="s">
        <v>9</v>
      </c>
      <c r="B13" s="14" t="s">
        <v>174</v>
      </c>
      <c r="C13" s="14" t="s">
        <v>169</v>
      </c>
      <c r="D13" s="14" t="s">
        <v>170</v>
      </c>
      <c r="E13" s="14" t="s">
        <v>171</v>
      </c>
    </row>
    <row r="14" spans="1:5" x14ac:dyDescent="0.2">
      <c r="A14" s="20" t="s">
        <v>20</v>
      </c>
      <c r="B14" s="16">
        <f>COUNTIF('Test Cases'!J:J,A14)</f>
        <v>7</v>
      </c>
      <c r="C14" s="16">
        <f>COUNTIFS('Test Cases'!J:J,A14,'Test Cases'!I:I,"Pass")</f>
        <v>7</v>
      </c>
      <c r="D14" s="16">
        <f>COUNTIFS('Test Cases'!J:J,A14,'Test Cases'!I:I,"Fail")</f>
        <v>0</v>
      </c>
      <c r="E14" s="17">
        <f>IF(B14=0,0,C14/B14)</f>
        <v>1</v>
      </c>
    </row>
    <row r="15" spans="1:5" x14ac:dyDescent="0.2">
      <c r="A15" s="15" t="s">
        <v>28</v>
      </c>
      <c r="B15" s="16">
        <f>COUNTIF('Test Cases'!J:J,A15)</f>
        <v>7</v>
      </c>
      <c r="C15" s="16">
        <f>COUNTIFS('Test Cases'!J:J,A15,'Test Cases'!I:I,"Pass")</f>
        <v>6</v>
      </c>
      <c r="D15" s="16">
        <f>COUNTIFS('Test Cases'!J:J,A15,'Test Cases'!I:I,"Fail")</f>
        <v>1</v>
      </c>
      <c r="E15" s="17">
        <f>IF(B15=0,0,C15/B15)</f>
        <v>0.8571428571428571</v>
      </c>
    </row>
    <row r="16" spans="1:5" x14ac:dyDescent="0.2">
      <c r="A16" s="18" t="s">
        <v>36</v>
      </c>
      <c r="B16" s="16">
        <f>COUNTIF('Test Cases'!J:J,A16)</f>
        <v>7</v>
      </c>
      <c r="C16" s="16">
        <f>COUNTIFS('Test Cases'!J:J,A16,'Test Cases'!I:I,"Pass")</f>
        <v>7</v>
      </c>
      <c r="D16" s="16">
        <f>COUNTIFS('Test Cases'!J:J,A16,'Test Cases'!I:I,"Fail")</f>
        <v>0</v>
      </c>
      <c r="E16" s="17">
        <f>IF(B16=0,0,C16/B16)</f>
        <v>1</v>
      </c>
    </row>
    <row r="17" spans="1:5" x14ac:dyDescent="0.2">
      <c r="A17" s="21" t="s">
        <v>172</v>
      </c>
      <c r="B17" s="21">
        <f>SUM(B14:B16)</f>
        <v>21</v>
      </c>
      <c r="C17" s="21">
        <f>SUM(C14:C16)</f>
        <v>20</v>
      </c>
      <c r="D17" s="21">
        <f>SUM(D14:D16)</f>
        <v>1</v>
      </c>
      <c r="E17" s="22">
        <f>IF(B17=0,0,C17/B17)</f>
        <v>0.95238095238095233</v>
      </c>
    </row>
    <row r="20" spans="1:5" x14ac:dyDescent="0.2">
      <c r="A20" s="23" t="s">
        <v>175</v>
      </c>
    </row>
    <row r="21" spans="1:5" x14ac:dyDescent="0.2">
      <c r="A21" s="24" t="s">
        <v>176</v>
      </c>
      <c r="B21" s="2" t="s">
        <v>177</v>
      </c>
      <c r="C21" s="2"/>
      <c r="D21" s="2"/>
      <c r="E21" s="2"/>
    </row>
    <row r="22" spans="1:5" x14ac:dyDescent="0.2">
      <c r="A22" s="25" t="s">
        <v>178</v>
      </c>
      <c r="B22" s="1" t="s">
        <v>179</v>
      </c>
      <c r="C22" s="1"/>
      <c r="D22" s="1"/>
      <c r="E22" s="1"/>
    </row>
    <row r="23" spans="1:5" x14ac:dyDescent="0.2">
      <c r="A23" s="25" t="s">
        <v>180</v>
      </c>
      <c r="B23" s="1" t="s">
        <v>93</v>
      </c>
      <c r="C23" s="1"/>
      <c r="D23" s="1"/>
      <c r="E23" s="1"/>
    </row>
    <row r="24" spans="1:5" x14ac:dyDescent="0.2">
      <c r="A24" s="25" t="s">
        <v>181</v>
      </c>
      <c r="B24" s="1" t="s">
        <v>182</v>
      </c>
      <c r="C24" s="1"/>
      <c r="D24" s="1"/>
      <c r="E24" s="1"/>
    </row>
    <row r="25" spans="1:5" x14ac:dyDescent="0.2">
      <c r="A25" s="25" t="s">
        <v>183</v>
      </c>
      <c r="B25" s="1" t="s">
        <v>101</v>
      </c>
      <c r="C25" s="1"/>
      <c r="D25" s="1"/>
      <c r="E25" s="1"/>
    </row>
    <row r="26" spans="1:5" x14ac:dyDescent="0.2">
      <c r="A26" s="25" t="s">
        <v>184</v>
      </c>
      <c r="B26" s="1" t="s">
        <v>93</v>
      </c>
      <c r="C26" s="1"/>
      <c r="D26" s="1"/>
      <c r="E26" s="1"/>
    </row>
    <row r="27" spans="1:5" x14ac:dyDescent="0.2">
      <c r="A27" s="25" t="s">
        <v>185</v>
      </c>
      <c r="B27" s="1" t="s">
        <v>186</v>
      </c>
      <c r="C27" s="1"/>
      <c r="D27" s="1"/>
      <c r="E27" s="1"/>
    </row>
    <row r="28" spans="1:5" x14ac:dyDescent="0.2">
      <c r="A28" s="25" t="s">
        <v>187</v>
      </c>
      <c r="B28" s="1" t="s">
        <v>130</v>
      </c>
      <c r="C28" s="1"/>
      <c r="D28" s="1"/>
      <c r="E28" s="1"/>
    </row>
    <row r="29" spans="1:5" x14ac:dyDescent="0.2">
      <c r="A29" s="25" t="s">
        <v>188</v>
      </c>
      <c r="B29" s="1" t="s">
        <v>189</v>
      </c>
      <c r="C29" s="1"/>
      <c r="D29" s="1"/>
      <c r="E29" s="1"/>
    </row>
    <row r="30" spans="1:5" x14ac:dyDescent="0.2">
      <c r="A30" s="25" t="s">
        <v>190</v>
      </c>
      <c r="B30" s="1" t="s">
        <v>116</v>
      </c>
      <c r="C30" s="1"/>
      <c r="D30" s="1"/>
      <c r="E30" s="1"/>
    </row>
    <row r="31" spans="1:5" x14ac:dyDescent="0.2">
      <c r="A31" s="25" t="s">
        <v>191</v>
      </c>
      <c r="B31" s="1" t="s">
        <v>192</v>
      </c>
      <c r="C31" s="1"/>
      <c r="D31" s="1"/>
      <c r="E31" s="1"/>
    </row>
    <row r="32" spans="1:5" x14ac:dyDescent="0.2">
      <c r="A32" s="25" t="s">
        <v>193</v>
      </c>
      <c r="B32" s="1" t="s">
        <v>194</v>
      </c>
      <c r="C32" s="1"/>
      <c r="D32" s="1"/>
      <c r="E32" s="1"/>
    </row>
    <row r="33" spans="1:5" x14ac:dyDescent="0.2">
      <c r="A33" s="25" t="s">
        <v>195</v>
      </c>
      <c r="B33" s="1" t="s">
        <v>196</v>
      </c>
      <c r="C33" s="1"/>
      <c r="D33" s="1"/>
      <c r="E33" s="1"/>
    </row>
    <row r="34" spans="1:5" x14ac:dyDescent="0.2">
      <c r="A34" s="25" t="s">
        <v>197</v>
      </c>
      <c r="B34" s="1" t="s">
        <v>198</v>
      </c>
      <c r="C34" s="1"/>
      <c r="D34" s="1"/>
      <c r="E34" s="1"/>
    </row>
  </sheetData>
  <mergeCells count="14">
    <mergeCell ref="B31:E31"/>
    <mergeCell ref="B32:E32"/>
    <mergeCell ref="B33:E33"/>
    <mergeCell ref="B34:E34"/>
    <mergeCell ref="B26:E26"/>
    <mergeCell ref="B27:E27"/>
    <mergeCell ref="B28:E28"/>
    <mergeCell ref="B29:E29"/>
    <mergeCell ref="B30:E30"/>
    <mergeCell ref="B21:E21"/>
    <mergeCell ref="B22:E22"/>
    <mergeCell ref="B23:E23"/>
    <mergeCell ref="B24:E24"/>
    <mergeCell ref="B25:E2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Test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2026-08-19T04:22:46Z</dcterms:created>
  <dcterms:modified xsi:type="dcterms:W3CDTF">2026-08-19T08:31:37Z</dcterms:modified>
  <dc:language>en-US</dc:language>
</cp:coreProperties>
</file>