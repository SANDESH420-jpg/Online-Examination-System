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ndeshchaudhary/Desktop/"/>
    </mc:Choice>
  </mc:AlternateContent>
  <xr:revisionPtr revIDLastSave="0" documentId="13_ncr:1_{BD55D177-65F9-7B4B-8DE0-51DDD8BE7C25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Test Cases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2" l="1"/>
  <c r="E14" i="2" s="1"/>
  <c r="B14" i="2"/>
  <c r="C13" i="2"/>
  <c r="E13" i="2" s="1"/>
  <c r="B13" i="2"/>
  <c r="C8" i="2"/>
  <c r="E8" i="2" s="1"/>
  <c r="B8" i="2"/>
  <c r="D8" i="2" s="1"/>
  <c r="C7" i="2"/>
  <c r="E7" i="2" s="1"/>
  <c r="B7" i="2"/>
  <c r="D7" i="2" s="1"/>
  <c r="C6" i="2"/>
  <c r="E6" i="2" s="1"/>
  <c r="B6" i="2"/>
  <c r="D6" i="2" s="1"/>
  <c r="C5" i="2"/>
  <c r="E5" i="2" s="1"/>
  <c r="B5" i="2"/>
  <c r="D5" i="2" s="1"/>
  <c r="D13" i="2" l="1"/>
  <c r="D14" i="2"/>
  <c r="D9" i="2"/>
  <c r="B9" i="2"/>
  <c r="C9" i="2"/>
  <c r="E9" i="2" s="1"/>
</calcChain>
</file>

<file path=xl/sharedStrings.xml><?xml version="1.0" encoding="utf-8"?>
<sst xmlns="http://schemas.openxmlformats.org/spreadsheetml/2006/main" count="450" uniqueCount="279">
  <si>
    <t>Test Case ID</t>
  </si>
  <si>
    <t>Test Level</t>
  </si>
  <si>
    <t>Related Use Case</t>
  </si>
  <si>
    <t>Scenario Type</t>
  </si>
  <si>
    <t>Test Objective</t>
  </si>
  <si>
    <t>Preconditions</t>
  </si>
  <si>
    <t>Test Input</t>
  </si>
  <si>
    <t>Test Steps</t>
  </si>
  <si>
    <t>Expected Output</t>
  </si>
  <si>
    <t>Actual Output</t>
  </si>
  <si>
    <t>Status</t>
  </si>
  <si>
    <t>Tester</t>
  </si>
  <si>
    <t>Date Tested</t>
  </si>
  <si>
    <t>TC-U-01</t>
  </si>
  <si>
    <t>Unit</t>
  </si>
  <si>
    <t>UC-1</t>
  </si>
  <si>
    <t>Positive</t>
  </si>
  <si>
    <t>Verify Authenticate User accepts valid Student credentials</t>
  </si>
  <si>
    <t>Login page is open; Student account jsmith exists and is active</t>
  </si>
  <si>
    <t>Username: jsmith; Password: Valid@123</t>
  </si>
  <si>
    <t>1) Enter username and password. 2) Click Login.</t>
  </si>
  <si>
    <t>User is authenticated and redirected to the Student dashboard</t>
  </si>
  <si>
    <t>User authenticated; redirected to dashboard</t>
  </si>
  <si>
    <t>Pass</t>
  </si>
  <si>
    <t>J. Cruz</t>
  </si>
  <si>
    <t>2026-08-05</t>
  </si>
  <si>
    <t>TC-U-02</t>
  </si>
  <si>
    <t>Negative</t>
  </si>
  <si>
    <t>Verify Authenticate User rejects an incorrect password</t>
  </si>
  <si>
    <t>Login page is open; Student account jsmith exists</t>
  </si>
  <si>
    <t>Username: jsmith; Password: WrongPass1</t>
  </si>
  <si>
    <t>1) Enter username and wrong password. 2) Click Login.</t>
  </si>
  <si>
    <t>Login is rejected; message 'Invalid username or password' is shown</t>
  </si>
  <si>
    <t>Login rejected; correct message shown</t>
  </si>
  <si>
    <t>TC-U-03</t>
  </si>
  <si>
    <t>UC-2</t>
  </si>
  <si>
    <t>Verify Search Course Catalog returns matches for a valid keyword</t>
  </si>
  <si>
    <t>Catalog contains at least one course titled 'Data Structures'</t>
  </si>
  <si>
    <t>Search keyword: 'Data Structures'</t>
  </si>
  <si>
    <t>1) Enter keyword in search box. 2) Press Enter.</t>
  </si>
  <si>
    <t>All courses whose title/description matches 'Data Structures' are listed</t>
  </si>
  <si>
    <t>3 matching courses listed correctly</t>
  </si>
  <si>
    <t>TC-U-04</t>
  </si>
  <si>
    <t>Verify Search Course Catalog handles a keyword with no matches</t>
  </si>
  <si>
    <t>No course in the catalog matches the term 'zzzz'</t>
  </si>
  <si>
    <t>Search keyword: 'zzzz'</t>
  </si>
  <si>
    <t>System shows 'No courses found' with no application error</t>
  </si>
  <si>
    <t>Message shown as expected; no crash</t>
  </si>
  <si>
    <t>TC-U-05</t>
  </si>
  <si>
    <t>UC-4</t>
  </si>
  <si>
    <t>Verify checkPrerequisite() returns valid=true when the prerequisite is on file</t>
  </si>
  <si>
    <t>Student has completed CS201 (prerequisite for CS301)</t>
  </si>
  <si>
    <t>studentId: S-2041; courseId: CS301</t>
  </si>
  <si>
    <t>1) Call checkPrerequisite(studentId, courseId).</t>
  </si>
  <si>
    <t>Function returns prereqStatus valid=true</t>
  </si>
  <si>
    <t>Returned valid=true</t>
  </si>
  <si>
    <t>TC-U-06</t>
  </si>
  <si>
    <t>Verify checkPrerequisite() returns valid=false when the prerequisite is missing</t>
  </si>
  <si>
    <t>Student has NOT completed CS201</t>
  </si>
  <si>
    <t>studentId: S-2098; courseId: CS301</t>
  </si>
  <si>
    <t>Function returns prereqStatus valid=false and blocks registration</t>
  </si>
  <si>
    <t>Function returned valid=true; registration was not blocked</t>
  </si>
  <si>
    <t>Fail</t>
  </si>
  <si>
    <t>TC-U-07</t>
  </si>
  <si>
    <t>UC-5</t>
  </si>
  <si>
    <t>Verify verifySeatAvailability() correctly reports an open seat</t>
  </si>
  <si>
    <t>CS301 Section 1 has 5 of 30 seats filled</t>
  </si>
  <si>
    <t>courseId: CS301-01</t>
  </si>
  <si>
    <t>1) Call verifySeatAvailability(courseId).</t>
  </si>
  <si>
    <t>Function returns available=true</t>
  </si>
  <si>
    <t>Returned available=true</t>
  </si>
  <si>
    <t>TC-U-08</t>
  </si>
  <si>
    <t>Verify verifySeatAvailability() correctly flags a full section</t>
  </si>
  <si>
    <t>CS301 Section 1 has 30 of 30 seats filled</t>
  </si>
  <si>
    <t>Function returns available=false and blocks registration</t>
  </si>
  <si>
    <t>Returned available=false; registration blocked</t>
  </si>
  <si>
    <t>TC-U-09</t>
  </si>
  <si>
    <t>Course.checkAvailability()</t>
  </si>
  <si>
    <t>Verify checkAvailability() at the exact capacity boundary (course just filled)</t>
  </si>
  <si>
    <t>Course capacity = 30; enrolled = 30 (just reached)</t>
  </si>
  <si>
    <t>courseId: MATH210</t>
  </si>
  <si>
    <t>1) Call checkAvailability() immediately after the 30th enrollment.</t>
  </si>
  <si>
    <t>Function returns false (no seats remain)</t>
  </si>
  <si>
    <t>Returned false</t>
  </si>
  <si>
    <t>2026-08-06</t>
  </si>
  <si>
    <t>TC-U-10</t>
  </si>
  <si>
    <t>Student.registerCourse()</t>
  </si>
  <si>
    <t>Verify registerCourse() handles a non-existent course ID gracefully</t>
  </si>
  <si>
    <t>Student is logged in; courseId 'CS999' does not exist in the catalog</t>
  </si>
  <si>
    <t>courseId: CS999</t>
  </si>
  <si>
    <t>1) Call registerCourse(CS999).</t>
  </si>
  <si>
    <t>Function returns false with message 'Course not found'; no exception raised</t>
  </si>
  <si>
    <t>Unhandled exception was thrown; user saw a raw error screen</t>
  </si>
  <si>
    <t>TC-I-01</t>
  </si>
  <si>
    <t>Integration</t>
  </si>
  <si>
    <t>UC-3 includes UC-4</t>
  </si>
  <si>
    <t>Verify Register for Course correctly triggers Verify Prerequisites before completing</t>
  </si>
  <si>
    <t>Student meets all prerequisites for the target course</t>
  </si>
  <si>
    <t>1) Student submits registration for CS301. 2) Observe that prerequisite check runs before confirmation.</t>
  </si>
  <si>
    <t>Prerequisite check executes and passes; registration completes</t>
  </si>
  <si>
    <t>Prerequisite check ran and passed; registration completed</t>
  </si>
  <si>
    <t>TC-I-02</t>
  </si>
  <si>
    <t>UC-4 includes UC-5</t>
  </si>
  <si>
    <t>Verify Verify Prerequisites correctly triggers Check Schedule Conflict in sequence</t>
  </si>
  <si>
    <t>Student meets prerequisites; target section has an open seat</t>
  </si>
  <si>
    <t>studentId: S-2041; courseId: CS301-01</t>
  </si>
  <si>
    <t>1) Submit registration. 2) Confirm prerequisite check runs, then seat check runs.</t>
  </si>
  <si>
    <t>Both checks execute in order; registration proceeds only after both pass</t>
  </si>
  <si>
    <t>Both checks executed in the correct order; registration proceeded</t>
  </si>
  <si>
    <t>TC-I-03</t>
  </si>
  <si>
    <t>RegistrationUI + CourseController</t>
  </si>
  <si>
    <t>Verify selectCourse() on the UI correctly triggers processRegistration() on the controller</t>
  </si>
  <si>
    <t>Student is on the course selection screen</t>
  </si>
  <si>
    <t>1) Student clicks 'Register' for CS301-01. 2) Observe message passed to CourseController.</t>
  </si>
  <si>
    <t>processRegistration(studentId, courseId) is invoked and returns confirmRegistrationSuccess()</t>
  </si>
  <si>
    <t>Message flow matched the Sequence Diagram; confirmation returned</t>
  </si>
  <si>
    <t>TC-I-04</t>
  </si>
  <si>
    <t>CourseController + CourseDB</t>
  </si>
  <si>
    <t>Verify the system handles a database error during prerequisite lookup gracefully</t>
  </si>
  <si>
    <t>CourseDB record for the target course is temporarily corrupted/unreachable</t>
  </si>
  <si>
    <t>studentId: S-2077; courseId: CS301</t>
  </si>
  <si>
    <t>1) Submit registration while CourseDB is in the corrupted state.</t>
  </si>
  <si>
    <t>System shows a user-friendly message, e.g. 'Unable to verify prerequisites, please try again'</t>
  </si>
  <si>
    <t>Raw database error code was displayed to the student</t>
  </si>
  <si>
    <t>2026-08-07</t>
  </si>
  <si>
    <t>TC-I-05</t>
  </si>
  <si>
    <t>UC-3 + Billing System (external)</t>
  </si>
  <si>
    <t>Verify a successful registration triggers invoice generation in the external Billing System</t>
  </si>
  <si>
    <t>Registration and Billing System are both online</t>
  </si>
  <si>
    <t>studentId: S-2041; courseId: CS301-01 (3 credits)</t>
  </si>
  <si>
    <t>1) Complete registration. 2) Check the Billing System for a new invoice.</t>
  </si>
  <si>
    <t>An invoice for the correct tuition amount is generated and linked to the student</t>
  </si>
  <si>
    <t>Invoice generated correctly and linked to the student record</t>
  </si>
  <si>
    <t>TC-I-06</t>
  </si>
  <si>
    <t>UC-7 + UC-2</t>
  </si>
  <si>
    <t>Verify a course added by the Registrar is immediately visible in Student search results</t>
  </si>
  <si>
    <t>Registrar is logged in; course 'BIO220' does not yet exist in the catalog</t>
  </si>
  <si>
    <t>New course: BIO220, 'Cell Biology', capacity 25</t>
  </si>
  <si>
    <t>1) Registrar adds BIO220 via Manage Course Catalog. 2) Student searches 'Cell Biology'.</t>
  </si>
  <si>
    <t>BIO220 appears in the Student's search results without delay</t>
  </si>
  <si>
    <t>Course appeared in search results immediately</t>
  </si>
  <si>
    <t>TC-I-07</t>
  </si>
  <si>
    <t>UC-6 + Student.getTranscript()</t>
  </si>
  <si>
    <t>Verify a grade submitted by a Professor appears on the student's transcript</t>
  </si>
  <si>
    <t>Professor is viewing the roster for a completed course</t>
  </si>
  <si>
    <t>Grade: CS201, Student S-2041, Grade = A</t>
  </si>
  <si>
    <t>1) Professor submits the grade. 2) Student opens getTranscript().</t>
  </si>
  <si>
    <t>Grade A for CS201 appears on the transcript immediately</t>
  </si>
  <si>
    <t>Grade appeared on transcript correctly</t>
  </si>
  <si>
    <t>TC-I-08</t>
  </si>
  <si>
    <t>Schedule aggregates Course</t>
  </si>
  <si>
    <t>Verify a registered course is correctly added to the Student's Schedule object</t>
  </si>
  <si>
    <t>Student has an existing Schedule for Fall 2026</t>
  </si>
  <si>
    <t>1) Complete registration. 2) Open the student's Schedule.</t>
  </si>
  <si>
    <t>CS301-01 appears in the Fall 2026 schedule with correct meeting time</t>
  </si>
  <si>
    <t>Course appeared in schedule with correct details</t>
  </si>
  <si>
    <t>TC-S-01</t>
  </si>
  <si>
    <t>System</t>
  </si>
  <si>
    <t>UC-1,UC-2,UC-3,UC-4,UC-5</t>
  </si>
  <si>
    <t>Verify the full end-to-end registration workflow completes without error</t>
  </si>
  <si>
    <t>System online; test student and course accounts exist</t>
  </si>
  <si>
    <t>New student logs in, searches, and registers for an open course</t>
  </si>
  <si>
    <t>1) Log in. 2) Search catalog. 3) Select course. 4) Pass prerequisite/seat checks. 5) View confirmation.</t>
  </si>
  <si>
    <t>All steps complete successfully; confirmation screen shows correct course and student</t>
  </si>
  <si>
    <t>All steps completed successfully with consistent data</t>
  </si>
  <si>
    <t>Test Team</t>
  </si>
  <si>
    <t>2026-08-08</t>
  </si>
  <si>
    <t>TC-S-02</t>
  </si>
  <si>
    <t>Activity Diagram fork/join</t>
  </si>
  <si>
    <t>Verify Add Course to Schedule and Decrement Seat Count run concurrently and both complete before invoicing</t>
  </si>
  <si>
    <t>Target section has exactly 1 open seat</t>
  </si>
  <si>
    <t>studentId: S-2050; courseId: CS301-01</t>
  </si>
  <si>
    <t>1) Submit registration. 2) Observe both fork branches execute. 3) Confirm join before Generate Tuition Invoice.</t>
  </si>
  <si>
    <t>Both branches complete before the invoice step begins; schedule and seat count are both updated</t>
  </si>
  <si>
    <t>Both branches completed before invoicing; data consistent</t>
  </si>
  <si>
    <t>TC-S-03</t>
  </si>
  <si>
    <t>Activity Diagram - Seat Available? No</t>
  </si>
  <si>
    <t>Verify only one of two simultaneous registrations for the last seat succeeds</t>
  </si>
  <si>
    <t>Two students submit registration for the same section within seconds of each other</t>
  </si>
  <si>
    <t>1) Student A submits registration. 2) Student B submits registration for the same section almost simultaneously.</t>
  </si>
  <si>
    <t>Only one registration succeeds; the other receives a 'Class Full' error</t>
  </si>
  <si>
    <t>Student A's registration succeeded; Student B received 'Class Full' error</t>
  </si>
  <si>
    <t>TC-S-04</t>
  </si>
  <si>
    <t>Activity Diagram - Prerequisites Satisfied? No</t>
  </si>
  <si>
    <t>Verify registration is blocked end-to-end when a prerequisite is not met</t>
  </si>
  <si>
    <t>Student has not completed the required prerequisite course</t>
  </si>
  <si>
    <t>1) Student attempts registration through the full workflow.</t>
  </si>
  <si>
    <t>Workflow stops at the prerequisite check; 'Display Prereq Error' is shown; no seat is reserved</t>
  </si>
  <si>
    <t>Workflow stopped as expected; prereq error shown; no seat reserved</t>
  </si>
  <si>
    <t>TC-S-05</t>
  </si>
  <si>
    <t>NFR-Performance</t>
  </si>
  <si>
    <t>Verify registration confirmation is returned within 3 seconds under normal load</t>
  </si>
  <si>
    <t>System under normal load (approx. 50 concurrent users)</t>
  </si>
  <si>
    <t>20 sample registrations run under load</t>
  </si>
  <si>
    <t>1) Submit 20 registrations. 2) Record response times.</t>
  </si>
  <si>
    <t>All 20 registrations return a confirmation in under 3 seconds</t>
  </si>
  <si>
    <t>Average response time 2.1 seconds; max 2.8 seconds</t>
  </si>
  <si>
    <t>2026-08-09</t>
  </si>
  <si>
    <t>TC-S-06</t>
  </si>
  <si>
    <t>NFR-Security</t>
  </si>
  <si>
    <t>Verify the system locks an account after 3 consecutive failed login attempts</t>
  </si>
  <si>
    <t>Valid Student account exists; user is logged out</t>
  </si>
  <si>
    <t>3 incorrect password attempts in a row</t>
  </si>
  <si>
    <t>1) Enter an incorrect password 3 times.</t>
  </si>
  <si>
    <t>Account is locked; user is shown a lockout message and must reset credentials</t>
  </si>
  <si>
    <t>Account locked after 3rd attempt as expected</t>
  </si>
  <si>
    <t>TC-S-07</t>
  </si>
  <si>
    <t>Verify registration behavior when the external Billing System is unreachable</t>
  </si>
  <si>
    <t>Billing System is deliberately taken offline for the test</t>
  </si>
  <si>
    <t>1) Complete registration while Billing System is down.</t>
  </si>
  <si>
    <t>Registration still completes; invoice generation is queued for retry rather than blocking the student</t>
  </si>
  <si>
    <t>Entire registration was rolled back instead of completing with a queued invoice</t>
  </si>
  <si>
    <t>Fail (Minor)</t>
  </si>
  <si>
    <t>TC-A-01</t>
  </si>
  <si>
    <t>UAT</t>
  </si>
  <si>
    <t>Confirm a new student can log into the CCRS portal without assistance</t>
  </si>
  <si>
    <t>Student has a valid account and has not logged in before</t>
  </si>
  <si>
    <t>Student's real login credentials</t>
  </si>
  <si>
    <t>1) Student independently logs in using only on-screen guidance.</t>
  </si>
  <si>
    <t>Login succeeds within 1 minute, unassisted</t>
  </si>
  <si>
    <t>Login completed in 35 seconds, unassisted</t>
  </si>
  <si>
    <t>Volunteer Student Panel</t>
  </si>
  <si>
    <t>2026-08-10</t>
  </si>
  <si>
    <t>TC-A-02</t>
  </si>
  <si>
    <t>Confirm a student can browse and search the course catalog without training</t>
  </si>
  <si>
    <t>Student is logged in</t>
  </si>
  <si>
    <t>Student searches for a course by subject area</t>
  </si>
  <si>
    <t>1) Student searches the catalog and reviews results without help.</t>
  </si>
  <si>
    <t>Student finds a relevant course within 2 minutes</t>
  </si>
  <si>
    <t>Student found a relevant course in 90 seconds</t>
  </si>
  <si>
    <t>TC-A-03</t>
  </si>
  <si>
    <t>UC-3</t>
  </si>
  <si>
    <t>Confirm a student can independently register for an open course</t>
  </si>
  <si>
    <t>Target course section has open seats</t>
  </si>
  <si>
    <t>Student completes registration unaided</t>
  </si>
  <si>
    <t>1) Student selects a course and completes registration on their own.</t>
  </si>
  <si>
    <t>Registration completes and a clear confirmation screen is shown</t>
  </si>
  <si>
    <t>Registration completed; confirmation screen was clear</t>
  </si>
  <si>
    <t>TC-A-04</t>
  </si>
  <si>
    <t>Confirm a student understands the prerequisite error message and can act on it</t>
  </si>
  <si>
    <t>Student attempts to register for a course whose prerequisite is not met</t>
  </si>
  <si>
    <t>Student sees the Prereq Error screen</t>
  </si>
  <si>
    <t>1) Student reads the error message. 2) Observe whether they choose a different, eligible course.</t>
  </si>
  <si>
    <t>Student understands the message and selects an eligible course without staff help</t>
  </si>
  <si>
    <t>Student understood the message and picked an eligible course</t>
  </si>
  <si>
    <t>2026-08-11</t>
  </si>
  <si>
    <t>TC-A-05</t>
  </si>
  <si>
    <t>UC-6</t>
  </si>
  <si>
    <t>Confirm a professor can submit grades for their class roster without assistance</t>
  </si>
  <si>
    <t>Professor is logged in; course roster is finalized</t>
  </si>
  <si>
    <t>Grades for a 20-student roster</t>
  </si>
  <si>
    <t>1) Professor opens the roster. 2) Submits a grade for each student.</t>
  </si>
  <si>
    <t>All 20 grades save correctly without errors</t>
  </si>
  <si>
    <t>All 20 grades saved correctly</t>
  </si>
  <si>
    <t>Faculty Panel</t>
  </si>
  <si>
    <t>TC-A-06</t>
  </si>
  <si>
    <t>UC-7</t>
  </si>
  <si>
    <t>Confirm a registrar can add and remove a course section from the catalog</t>
  </si>
  <si>
    <t>Registrar is logged in</t>
  </si>
  <si>
    <t>New section: HIST110-02; removal of a cancelled section HIST110-01</t>
  </si>
  <si>
    <t>1) Registrar adds the new section. 2) Registrar removes the cancelled section.</t>
  </si>
  <si>
    <t>Both actions complete correctly and are reflected immediately in the catalog</t>
  </si>
  <si>
    <t>Both actions completed correctly and updated immediately</t>
  </si>
  <si>
    <t>Registrar's Office</t>
  </si>
  <si>
    <t>TC-A-07</t>
  </si>
  <si>
    <t>Confirm a student attempting to register for two overlapping sections receives a clear conflict warning</t>
  </si>
  <si>
    <t>Student is already registered for a course meeting Mon/Wed 10:00-11:15 AM</t>
  </si>
  <si>
    <t>Student attempts to add a second course meeting Mon 10:30-11:45 AM</t>
  </si>
  <si>
    <t>1) Student attempts to register for the overlapping section.</t>
  </si>
  <si>
    <t>A clear message names both conflicting courses and their meeting times</t>
  </si>
  <si>
    <t>Message shown, but it did not name which existing course caused the conflict</t>
  </si>
  <si>
    <t>Campus Course Registration System (CCRS) — Testing Summary</t>
  </si>
  <si>
    <t>By Test Level</t>
  </si>
  <si>
    <t>Total</t>
  </si>
  <si>
    <t>Pass Rate</t>
  </si>
  <si>
    <t>By Scenario Type</t>
  </si>
  <si>
    <t>Legend: 'Pass' = matched expected output. 'Fail' / 'Fail (Minor)' = actual output diverged from expected (see Actual Output column in Test Cases sheet).</t>
  </si>
  <si>
    <t>ken</t>
  </si>
  <si>
    <t>cartii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</si>
</sst>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3"/>
      <name val="Cambria"/>
      <family val="1"/>
    </font>
    <font>
      <b/>
      <sz val="11"/>
      <name val="Cambria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b/>
      <sz val="12"/>
      <color rgb="FF006100"/>
      <name val="Times New Roman"/>
      <family val="1"/>
    </font>
    <font>
      <b/>
      <sz val="12"/>
      <color rgb="FF9C000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Normal="100" workbookViewId="0">
      <pane ySplit="1" topLeftCell="A2" activePane="bottomLeft" state="frozen"/>
      <selection pane="bottomLeft" activeCell="M19" sqref="M19"/>
    </sheetView>
  </sheetViews>
  <sheetFormatPr baseColWidth="10" defaultColWidth="8.6640625" defaultRowHeight="15" x14ac:dyDescent="0.2"/>
  <cols>
    <col min="1" max="1" width="12" customWidth="1"/>
    <col min="2" max="2" width="10" customWidth="1"/>
    <col min="3" max="3" width="16" customWidth="1"/>
    <col min="4" max="4" width="11" customWidth="1"/>
    <col min="5" max="5" width="32" customWidth="1"/>
    <col min="6" max="7" width="26" customWidth="1"/>
    <col min="8" max="8" width="30" customWidth="1"/>
    <col min="9" max="10" width="32" customWidth="1"/>
    <col min="11" max="11" width="12" customWidth="1"/>
    <col min="12" max="12" width="16" customWidth="1"/>
    <col min="13" max="13" width="13" customWidth="1"/>
  </cols>
  <sheetData>
    <row r="1" spans="1:13" ht="31.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51" x14ac:dyDescent="0.2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8" t="s">
        <v>23</v>
      </c>
      <c r="L2" s="7" t="s">
        <v>24</v>
      </c>
      <c r="M2" s="7" t="s">
        <v>25</v>
      </c>
    </row>
    <row r="3" spans="1:13" ht="34" x14ac:dyDescent="0.2">
      <c r="A3" s="7" t="s">
        <v>26</v>
      </c>
      <c r="B3" s="7" t="s">
        <v>14</v>
      </c>
      <c r="C3" s="7" t="s">
        <v>15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32</v>
      </c>
      <c r="J3" s="7" t="s">
        <v>33</v>
      </c>
      <c r="K3" s="8" t="s">
        <v>23</v>
      </c>
      <c r="L3" s="7" t="s">
        <v>24</v>
      </c>
      <c r="M3" s="7" t="s">
        <v>25</v>
      </c>
    </row>
    <row r="4" spans="1:13" ht="34" x14ac:dyDescent="0.2">
      <c r="A4" s="7" t="s">
        <v>34</v>
      </c>
      <c r="B4" s="7" t="s">
        <v>14</v>
      </c>
      <c r="C4" s="7" t="s">
        <v>35</v>
      </c>
      <c r="D4" s="7" t="s">
        <v>16</v>
      </c>
      <c r="E4" s="7" t="s">
        <v>36</v>
      </c>
      <c r="F4" s="7" t="s">
        <v>37</v>
      </c>
      <c r="G4" s="7" t="s">
        <v>38</v>
      </c>
      <c r="H4" s="7" t="s">
        <v>39</v>
      </c>
      <c r="I4" s="7" t="s">
        <v>40</v>
      </c>
      <c r="J4" s="7" t="s">
        <v>41</v>
      </c>
      <c r="K4" s="8" t="s">
        <v>23</v>
      </c>
      <c r="L4" s="7" t="s">
        <v>277</v>
      </c>
      <c r="M4" s="7" t="s">
        <v>25</v>
      </c>
    </row>
    <row r="5" spans="1:13" ht="34" x14ac:dyDescent="0.2">
      <c r="A5" s="7" t="s">
        <v>42</v>
      </c>
      <c r="B5" s="7" t="s">
        <v>14</v>
      </c>
      <c r="C5" s="7" t="s">
        <v>35</v>
      </c>
      <c r="D5" s="7" t="s">
        <v>27</v>
      </c>
      <c r="E5" s="7" t="s">
        <v>43</v>
      </c>
      <c r="F5" s="7" t="s">
        <v>44</v>
      </c>
      <c r="G5" s="7" t="s">
        <v>45</v>
      </c>
      <c r="H5" s="7" t="s">
        <v>39</v>
      </c>
      <c r="I5" s="7" t="s">
        <v>46</v>
      </c>
      <c r="J5" s="7" t="s">
        <v>47</v>
      </c>
      <c r="K5" s="8" t="s">
        <v>23</v>
      </c>
      <c r="L5" s="7" t="s">
        <v>277</v>
      </c>
      <c r="M5" s="7" t="s">
        <v>25</v>
      </c>
    </row>
    <row r="6" spans="1:13" ht="51" x14ac:dyDescent="0.2">
      <c r="A6" s="7" t="s">
        <v>48</v>
      </c>
      <c r="B6" s="7" t="s">
        <v>14</v>
      </c>
      <c r="C6" s="7" t="s">
        <v>49</v>
      </c>
      <c r="D6" s="7" t="s">
        <v>16</v>
      </c>
      <c r="E6" s="7" t="s">
        <v>50</v>
      </c>
      <c r="F6" s="7" t="s">
        <v>51</v>
      </c>
      <c r="G6" s="7" t="s">
        <v>52</v>
      </c>
      <c r="H6" s="7" t="s">
        <v>53</v>
      </c>
      <c r="I6" s="7" t="s">
        <v>54</v>
      </c>
      <c r="J6" s="7" t="s">
        <v>55</v>
      </c>
      <c r="K6" s="8" t="s">
        <v>23</v>
      </c>
      <c r="L6" s="7" t="s">
        <v>278</v>
      </c>
      <c r="M6" s="7" t="s">
        <v>25</v>
      </c>
    </row>
    <row r="7" spans="1:13" ht="51" x14ac:dyDescent="0.2">
      <c r="A7" s="7" t="s">
        <v>56</v>
      </c>
      <c r="B7" s="7" t="s">
        <v>14</v>
      </c>
      <c r="C7" s="7" t="s">
        <v>49</v>
      </c>
      <c r="D7" s="7" t="s">
        <v>27</v>
      </c>
      <c r="E7" s="7" t="s">
        <v>57</v>
      </c>
      <c r="F7" s="7" t="s">
        <v>58</v>
      </c>
      <c r="G7" s="7" t="s">
        <v>59</v>
      </c>
      <c r="H7" s="7" t="s">
        <v>53</v>
      </c>
      <c r="I7" s="7" t="s">
        <v>60</v>
      </c>
      <c r="J7" s="7" t="s">
        <v>61</v>
      </c>
      <c r="K7" s="9" t="s">
        <v>62</v>
      </c>
      <c r="L7" s="7" t="s">
        <v>278</v>
      </c>
      <c r="M7" s="7" t="s">
        <v>25</v>
      </c>
    </row>
    <row r="8" spans="1:13" ht="34" x14ac:dyDescent="0.2">
      <c r="A8" s="7" t="s">
        <v>63</v>
      </c>
      <c r="B8" s="7" t="s">
        <v>14</v>
      </c>
      <c r="C8" s="7" t="s">
        <v>64</v>
      </c>
      <c r="D8" s="7" t="s">
        <v>16</v>
      </c>
      <c r="E8" s="7" t="s">
        <v>65</v>
      </c>
      <c r="F8" s="7" t="s">
        <v>66</v>
      </c>
      <c r="G8" s="7" t="s">
        <v>67</v>
      </c>
      <c r="H8" s="7" t="s">
        <v>68</v>
      </c>
      <c r="I8" s="7" t="s">
        <v>69</v>
      </c>
      <c r="J8" s="7" t="s">
        <v>70</v>
      </c>
      <c r="K8" s="8" t="s">
        <v>23</v>
      </c>
      <c r="L8" s="7" t="s">
        <v>278</v>
      </c>
      <c r="M8" s="7" t="s">
        <v>25</v>
      </c>
    </row>
    <row r="9" spans="1:13" ht="34" x14ac:dyDescent="0.2">
      <c r="A9" s="7" t="s">
        <v>71</v>
      </c>
      <c r="B9" s="7" t="s">
        <v>14</v>
      </c>
      <c r="C9" s="7" t="s">
        <v>64</v>
      </c>
      <c r="D9" s="7" t="s">
        <v>27</v>
      </c>
      <c r="E9" s="7" t="s">
        <v>72</v>
      </c>
      <c r="F9" s="7" t="s">
        <v>73</v>
      </c>
      <c r="G9" s="7" t="s">
        <v>67</v>
      </c>
      <c r="H9" s="7" t="s">
        <v>68</v>
      </c>
      <c r="I9" s="7" t="s">
        <v>74</v>
      </c>
      <c r="J9" s="7" t="s">
        <v>75</v>
      </c>
      <c r="K9" s="8" t="s">
        <v>23</v>
      </c>
      <c r="L9" s="7" t="s">
        <v>278</v>
      </c>
      <c r="M9" s="7" t="s">
        <v>25</v>
      </c>
    </row>
    <row r="10" spans="1:13" ht="51" x14ac:dyDescent="0.2">
      <c r="A10" s="7" t="s">
        <v>76</v>
      </c>
      <c r="B10" s="7" t="s">
        <v>14</v>
      </c>
      <c r="C10" s="7" t="s">
        <v>77</v>
      </c>
      <c r="D10" s="7" t="s">
        <v>16</v>
      </c>
      <c r="E10" s="7" t="s">
        <v>78</v>
      </c>
      <c r="F10" s="7" t="s">
        <v>79</v>
      </c>
      <c r="G10" s="7" t="s">
        <v>80</v>
      </c>
      <c r="H10" s="7" t="s">
        <v>81</v>
      </c>
      <c r="I10" s="7" t="s">
        <v>82</v>
      </c>
      <c r="J10" s="7" t="s">
        <v>83</v>
      </c>
      <c r="K10" s="8" t="s">
        <v>23</v>
      </c>
      <c r="L10" s="7" t="s">
        <v>278</v>
      </c>
      <c r="M10" s="7" t="s">
        <v>84</v>
      </c>
    </row>
    <row r="11" spans="1:13" ht="51" x14ac:dyDescent="0.2">
      <c r="A11" s="7" t="s">
        <v>85</v>
      </c>
      <c r="B11" s="7" t="s">
        <v>14</v>
      </c>
      <c r="C11" s="7" t="s">
        <v>86</v>
      </c>
      <c r="D11" s="7" t="s">
        <v>27</v>
      </c>
      <c r="E11" s="7" t="s">
        <v>87</v>
      </c>
      <c r="F11" s="7" t="s">
        <v>88</v>
      </c>
      <c r="G11" s="7" t="s">
        <v>89</v>
      </c>
      <c r="H11" s="7" t="s">
        <v>90</v>
      </c>
      <c r="I11" s="7" t="s">
        <v>91</v>
      </c>
      <c r="J11" s="7" t="s">
        <v>92</v>
      </c>
      <c r="K11" s="9" t="s">
        <v>62</v>
      </c>
      <c r="L11" s="7" t="s">
        <v>278</v>
      </c>
      <c r="M11" s="7" t="s">
        <v>84</v>
      </c>
    </row>
    <row r="12" spans="1:13" ht="51" x14ac:dyDescent="0.2">
      <c r="A12" s="7" t="s">
        <v>93</v>
      </c>
      <c r="B12" s="7" t="s">
        <v>94</v>
      </c>
      <c r="C12" s="7" t="s">
        <v>95</v>
      </c>
      <c r="D12" s="7" t="s">
        <v>16</v>
      </c>
      <c r="E12" s="7" t="s">
        <v>96</v>
      </c>
      <c r="F12" s="7" t="s">
        <v>97</v>
      </c>
      <c r="G12" s="7" t="s">
        <v>52</v>
      </c>
      <c r="H12" s="7" t="s">
        <v>98</v>
      </c>
      <c r="I12" s="7" t="s">
        <v>99</v>
      </c>
      <c r="J12" s="7" t="s">
        <v>100</v>
      </c>
      <c r="K12" s="8" t="s">
        <v>23</v>
      </c>
      <c r="L12" s="7" t="s">
        <v>277</v>
      </c>
      <c r="M12" s="7" t="s">
        <v>84</v>
      </c>
    </row>
    <row r="13" spans="1:13" ht="51" x14ac:dyDescent="0.2">
      <c r="A13" s="7" t="s">
        <v>101</v>
      </c>
      <c r="B13" s="7" t="s">
        <v>94</v>
      </c>
      <c r="C13" s="7" t="s">
        <v>102</v>
      </c>
      <c r="D13" s="7" t="s">
        <v>16</v>
      </c>
      <c r="E13" s="7" t="s">
        <v>103</v>
      </c>
      <c r="F13" s="7" t="s">
        <v>104</v>
      </c>
      <c r="G13" s="7" t="s">
        <v>105</v>
      </c>
      <c r="H13" s="7" t="s">
        <v>106</v>
      </c>
      <c r="I13" s="7" t="s">
        <v>107</v>
      </c>
      <c r="J13" s="7" t="s">
        <v>108</v>
      </c>
      <c r="K13" s="8" t="s">
        <v>23</v>
      </c>
      <c r="L13" s="7" t="s">
        <v>277</v>
      </c>
      <c r="M13" s="7" t="s">
        <v>84</v>
      </c>
    </row>
    <row r="14" spans="1:13" ht="51" x14ac:dyDescent="0.2">
      <c r="A14" s="7" t="s">
        <v>109</v>
      </c>
      <c r="B14" s="7" t="s">
        <v>94</v>
      </c>
      <c r="C14" s="7" t="s">
        <v>110</v>
      </c>
      <c r="D14" s="7" t="s">
        <v>16</v>
      </c>
      <c r="E14" s="7" t="s">
        <v>111</v>
      </c>
      <c r="F14" s="7" t="s">
        <v>112</v>
      </c>
      <c r="G14" s="7" t="s">
        <v>67</v>
      </c>
      <c r="H14" s="7" t="s">
        <v>113</v>
      </c>
      <c r="I14" s="7" t="s">
        <v>114</v>
      </c>
      <c r="J14" s="7" t="s">
        <v>115</v>
      </c>
      <c r="K14" s="8" t="s">
        <v>23</v>
      </c>
      <c r="L14" s="7" t="s">
        <v>277</v>
      </c>
      <c r="M14" s="7" t="s">
        <v>84</v>
      </c>
    </row>
    <row r="15" spans="1:13" ht="51" x14ac:dyDescent="0.2">
      <c r="A15" s="7" t="s">
        <v>116</v>
      </c>
      <c r="B15" s="7" t="s">
        <v>94</v>
      </c>
      <c r="C15" s="7" t="s">
        <v>117</v>
      </c>
      <c r="D15" s="7" t="s">
        <v>27</v>
      </c>
      <c r="E15" s="7" t="s">
        <v>118</v>
      </c>
      <c r="F15" s="7" t="s">
        <v>119</v>
      </c>
      <c r="G15" s="7" t="s">
        <v>120</v>
      </c>
      <c r="H15" s="7" t="s">
        <v>121</v>
      </c>
      <c r="I15" s="7" t="s">
        <v>122</v>
      </c>
      <c r="J15" s="7" t="s">
        <v>123</v>
      </c>
      <c r="K15" s="9" t="s">
        <v>62</v>
      </c>
      <c r="L15" s="7" t="s">
        <v>278</v>
      </c>
      <c r="M15" s="7" t="s">
        <v>124</v>
      </c>
    </row>
    <row r="16" spans="1:13" ht="51" x14ac:dyDescent="0.2">
      <c r="A16" s="7" t="s">
        <v>125</v>
      </c>
      <c r="B16" s="7" t="s">
        <v>94</v>
      </c>
      <c r="C16" s="7" t="s">
        <v>126</v>
      </c>
      <c r="D16" s="7" t="s">
        <v>16</v>
      </c>
      <c r="E16" s="7" t="s">
        <v>127</v>
      </c>
      <c r="F16" s="7" t="s">
        <v>128</v>
      </c>
      <c r="G16" s="7" t="s">
        <v>129</v>
      </c>
      <c r="H16" s="7" t="s">
        <v>130</v>
      </c>
      <c r="I16" s="7" t="s">
        <v>131</v>
      </c>
      <c r="J16" s="7" t="s">
        <v>132</v>
      </c>
      <c r="K16" s="8" t="s">
        <v>23</v>
      </c>
      <c r="L16" s="7" t="s">
        <v>277</v>
      </c>
      <c r="M16" s="7" t="s">
        <v>124</v>
      </c>
    </row>
    <row r="17" spans="1:13" ht="51" x14ac:dyDescent="0.2">
      <c r="A17" s="7" t="s">
        <v>133</v>
      </c>
      <c r="B17" s="7" t="s">
        <v>94</v>
      </c>
      <c r="C17" s="7" t="s">
        <v>134</v>
      </c>
      <c r="D17" s="7" t="s">
        <v>16</v>
      </c>
      <c r="E17" s="7" t="s">
        <v>135</v>
      </c>
      <c r="F17" s="7" t="s">
        <v>136</v>
      </c>
      <c r="G17" s="7" t="s">
        <v>137</v>
      </c>
      <c r="H17" s="7" t="s">
        <v>138</v>
      </c>
      <c r="I17" s="7" t="s">
        <v>139</v>
      </c>
      <c r="J17" s="7" t="s">
        <v>140</v>
      </c>
      <c r="K17" s="8" t="s">
        <v>23</v>
      </c>
      <c r="L17" s="7" t="s">
        <v>277</v>
      </c>
      <c r="M17" s="7" t="s">
        <v>124</v>
      </c>
    </row>
    <row r="18" spans="1:13" ht="51" x14ac:dyDescent="0.2">
      <c r="A18" s="7" t="s">
        <v>141</v>
      </c>
      <c r="B18" s="7" t="s">
        <v>94</v>
      </c>
      <c r="C18" s="7" t="s">
        <v>142</v>
      </c>
      <c r="D18" s="7" t="s">
        <v>16</v>
      </c>
      <c r="E18" s="7" t="s">
        <v>143</v>
      </c>
      <c r="F18" s="7" t="s">
        <v>144</v>
      </c>
      <c r="G18" s="7" t="s">
        <v>145</v>
      </c>
      <c r="H18" s="7" t="s">
        <v>146</v>
      </c>
      <c r="I18" s="7" t="s">
        <v>147</v>
      </c>
      <c r="J18" s="7" t="s">
        <v>148</v>
      </c>
      <c r="K18" s="8" t="s">
        <v>23</v>
      </c>
      <c r="L18" s="7" t="s">
        <v>278</v>
      </c>
      <c r="M18" s="7" t="s">
        <v>124</v>
      </c>
    </row>
    <row r="19" spans="1:13" ht="34" x14ac:dyDescent="0.2">
      <c r="A19" s="7" t="s">
        <v>149</v>
      </c>
      <c r="B19" s="7" t="s">
        <v>94</v>
      </c>
      <c r="C19" s="7" t="s">
        <v>150</v>
      </c>
      <c r="D19" s="7" t="s">
        <v>16</v>
      </c>
      <c r="E19" s="7" t="s">
        <v>151</v>
      </c>
      <c r="F19" s="7" t="s">
        <v>152</v>
      </c>
      <c r="G19" s="7" t="s">
        <v>67</v>
      </c>
      <c r="H19" s="7" t="s">
        <v>153</v>
      </c>
      <c r="I19" s="7" t="s">
        <v>154</v>
      </c>
      <c r="J19" s="7" t="s">
        <v>155</v>
      </c>
      <c r="K19" s="8" t="s">
        <v>23</v>
      </c>
      <c r="L19" s="7" t="s">
        <v>278</v>
      </c>
      <c r="M19" s="7" t="s">
        <v>124</v>
      </c>
    </row>
    <row r="20" spans="1:13" ht="68" x14ac:dyDescent="0.2">
      <c r="A20" s="7" t="s">
        <v>156</v>
      </c>
      <c r="B20" s="7" t="s">
        <v>157</v>
      </c>
      <c r="C20" s="7" t="s">
        <v>158</v>
      </c>
      <c r="D20" s="7" t="s">
        <v>16</v>
      </c>
      <c r="E20" s="7" t="s">
        <v>159</v>
      </c>
      <c r="F20" s="7" t="s">
        <v>160</v>
      </c>
      <c r="G20" s="7" t="s">
        <v>161</v>
      </c>
      <c r="H20" s="7" t="s">
        <v>162</v>
      </c>
      <c r="I20" s="7" t="s">
        <v>163</v>
      </c>
      <c r="J20" s="7" t="s">
        <v>164</v>
      </c>
      <c r="K20" s="8" t="s">
        <v>23</v>
      </c>
      <c r="L20" s="7" t="s">
        <v>165</v>
      </c>
      <c r="M20" s="7" t="s">
        <v>166</v>
      </c>
    </row>
    <row r="21" spans="1:13" ht="68" x14ac:dyDescent="0.2">
      <c r="A21" s="7" t="s">
        <v>167</v>
      </c>
      <c r="B21" s="7" t="s">
        <v>157</v>
      </c>
      <c r="C21" s="7" t="s">
        <v>168</v>
      </c>
      <c r="D21" s="7" t="s">
        <v>16</v>
      </c>
      <c r="E21" s="7" t="s">
        <v>169</v>
      </c>
      <c r="F21" s="7" t="s">
        <v>170</v>
      </c>
      <c r="G21" s="7" t="s">
        <v>171</v>
      </c>
      <c r="H21" s="7" t="s">
        <v>172</v>
      </c>
      <c r="I21" s="7" t="s">
        <v>173</v>
      </c>
      <c r="J21" s="7" t="s">
        <v>174</v>
      </c>
      <c r="K21" s="8" t="s">
        <v>23</v>
      </c>
      <c r="L21" s="7" t="s">
        <v>165</v>
      </c>
      <c r="M21" s="7" t="s">
        <v>166</v>
      </c>
    </row>
    <row r="22" spans="1:13" ht="68" x14ac:dyDescent="0.2">
      <c r="A22" s="7" t="s">
        <v>175</v>
      </c>
      <c r="B22" s="7" t="s">
        <v>157</v>
      </c>
      <c r="C22" s="7" t="s">
        <v>176</v>
      </c>
      <c r="D22" s="7" t="s">
        <v>16</v>
      </c>
      <c r="E22" s="7" t="s">
        <v>177</v>
      </c>
      <c r="F22" s="7" t="s">
        <v>170</v>
      </c>
      <c r="G22" s="7" t="s">
        <v>178</v>
      </c>
      <c r="H22" s="7" t="s">
        <v>179</v>
      </c>
      <c r="I22" s="7" t="s">
        <v>180</v>
      </c>
      <c r="J22" s="7" t="s">
        <v>181</v>
      </c>
      <c r="K22" s="8" t="s">
        <v>23</v>
      </c>
      <c r="L22" s="7" t="s">
        <v>165</v>
      </c>
      <c r="M22" s="7" t="s">
        <v>166</v>
      </c>
    </row>
    <row r="23" spans="1:13" ht="51" x14ac:dyDescent="0.2">
      <c r="A23" s="7" t="s">
        <v>182</v>
      </c>
      <c r="B23" s="7" t="s">
        <v>157</v>
      </c>
      <c r="C23" s="7" t="s">
        <v>183</v>
      </c>
      <c r="D23" s="7" t="s">
        <v>27</v>
      </c>
      <c r="E23" s="7" t="s">
        <v>184</v>
      </c>
      <c r="F23" s="7" t="s">
        <v>185</v>
      </c>
      <c r="G23" s="7" t="s">
        <v>59</v>
      </c>
      <c r="H23" s="7" t="s">
        <v>186</v>
      </c>
      <c r="I23" s="7" t="s">
        <v>187</v>
      </c>
      <c r="J23" s="7" t="s">
        <v>188</v>
      </c>
      <c r="K23" s="8" t="s">
        <v>23</v>
      </c>
      <c r="L23" s="7" t="s">
        <v>165</v>
      </c>
      <c r="M23" s="7" t="s">
        <v>166</v>
      </c>
    </row>
    <row r="24" spans="1:13" ht="51" x14ac:dyDescent="0.2">
      <c r="A24" s="7" t="s">
        <v>189</v>
      </c>
      <c r="B24" s="7" t="s">
        <v>157</v>
      </c>
      <c r="C24" s="7" t="s">
        <v>190</v>
      </c>
      <c r="D24" s="7" t="s">
        <v>16</v>
      </c>
      <c r="E24" s="7" t="s">
        <v>191</v>
      </c>
      <c r="F24" s="7" t="s">
        <v>192</v>
      </c>
      <c r="G24" s="7" t="s">
        <v>193</v>
      </c>
      <c r="H24" s="7" t="s">
        <v>194</v>
      </c>
      <c r="I24" s="7" t="s">
        <v>195</v>
      </c>
      <c r="J24" s="7" t="s">
        <v>196</v>
      </c>
      <c r="K24" s="8" t="s">
        <v>23</v>
      </c>
      <c r="L24" s="7" t="s">
        <v>165</v>
      </c>
      <c r="M24" s="7" t="s">
        <v>197</v>
      </c>
    </row>
    <row r="25" spans="1:13" ht="51" x14ac:dyDescent="0.2">
      <c r="A25" s="7" t="s">
        <v>198</v>
      </c>
      <c r="B25" s="7" t="s">
        <v>157</v>
      </c>
      <c r="C25" s="7" t="s">
        <v>199</v>
      </c>
      <c r="D25" s="7" t="s">
        <v>27</v>
      </c>
      <c r="E25" s="7" t="s">
        <v>200</v>
      </c>
      <c r="F25" s="7" t="s">
        <v>201</v>
      </c>
      <c r="G25" s="7" t="s">
        <v>202</v>
      </c>
      <c r="H25" s="7" t="s">
        <v>203</v>
      </c>
      <c r="I25" s="7" t="s">
        <v>204</v>
      </c>
      <c r="J25" s="7" t="s">
        <v>205</v>
      </c>
      <c r="K25" s="8" t="s">
        <v>23</v>
      </c>
      <c r="L25" s="7" t="s">
        <v>165</v>
      </c>
      <c r="M25" s="7" t="s">
        <v>197</v>
      </c>
    </row>
    <row r="26" spans="1:13" ht="51" x14ac:dyDescent="0.2">
      <c r="A26" s="7" t="s">
        <v>206</v>
      </c>
      <c r="B26" s="7" t="s">
        <v>157</v>
      </c>
      <c r="C26" s="7" t="s">
        <v>126</v>
      </c>
      <c r="D26" s="7" t="s">
        <v>27</v>
      </c>
      <c r="E26" s="7" t="s">
        <v>207</v>
      </c>
      <c r="F26" s="7" t="s">
        <v>208</v>
      </c>
      <c r="G26" s="7" t="s">
        <v>105</v>
      </c>
      <c r="H26" s="7" t="s">
        <v>209</v>
      </c>
      <c r="I26" s="7" t="s">
        <v>210</v>
      </c>
      <c r="J26" s="7" t="s">
        <v>211</v>
      </c>
      <c r="K26" s="9" t="s">
        <v>212</v>
      </c>
      <c r="L26" s="7" t="s">
        <v>165</v>
      </c>
      <c r="M26" s="7" t="s">
        <v>197</v>
      </c>
    </row>
    <row r="27" spans="1:13" ht="34" x14ac:dyDescent="0.2">
      <c r="A27" s="7" t="s">
        <v>213</v>
      </c>
      <c r="B27" s="7" t="s">
        <v>214</v>
      </c>
      <c r="C27" s="7" t="s">
        <v>15</v>
      </c>
      <c r="D27" s="7" t="s">
        <v>16</v>
      </c>
      <c r="E27" s="7" t="s">
        <v>215</v>
      </c>
      <c r="F27" s="7" t="s">
        <v>216</v>
      </c>
      <c r="G27" s="7" t="s">
        <v>217</v>
      </c>
      <c r="H27" s="7" t="s">
        <v>218</v>
      </c>
      <c r="I27" s="7" t="s">
        <v>219</v>
      </c>
      <c r="J27" s="7" t="s">
        <v>220</v>
      </c>
      <c r="K27" s="8" t="s">
        <v>23</v>
      </c>
      <c r="L27" s="7" t="s">
        <v>221</v>
      </c>
      <c r="M27" s="7" t="s">
        <v>222</v>
      </c>
    </row>
    <row r="28" spans="1:13" ht="51" x14ac:dyDescent="0.2">
      <c r="A28" s="7" t="s">
        <v>223</v>
      </c>
      <c r="B28" s="7" t="s">
        <v>214</v>
      </c>
      <c r="C28" s="7" t="s">
        <v>35</v>
      </c>
      <c r="D28" s="7" t="s">
        <v>16</v>
      </c>
      <c r="E28" s="7" t="s">
        <v>224</v>
      </c>
      <c r="F28" s="7" t="s">
        <v>225</v>
      </c>
      <c r="G28" s="7" t="s">
        <v>226</v>
      </c>
      <c r="H28" s="7" t="s">
        <v>227</v>
      </c>
      <c r="I28" s="7" t="s">
        <v>228</v>
      </c>
      <c r="J28" s="7" t="s">
        <v>229</v>
      </c>
      <c r="K28" s="8" t="s">
        <v>23</v>
      </c>
      <c r="L28" s="7" t="s">
        <v>221</v>
      </c>
      <c r="M28" s="7" t="s">
        <v>222</v>
      </c>
    </row>
    <row r="29" spans="1:13" ht="34" x14ac:dyDescent="0.2">
      <c r="A29" s="7" t="s">
        <v>230</v>
      </c>
      <c r="B29" s="7" t="s">
        <v>214</v>
      </c>
      <c r="C29" s="7" t="s">
        <v>231</v>
      </c>
      <c r="D29" s="7" t="s">
        <v>16</v>
      </c>
      <c r="E29" s="7" t="s">
        <v>232</v>
      </c>
      <c r="F29" s="7" t="s">
        <v>233</v>
      </c>
      <c r="G29" s="7" t="s">
        <v>234</v>
      </c>
      <c r="H29" s="7" t="s">
        <v>235</v>
      </c>
      <c r="I29" s="7" t="s">
        <v>236</v>
      </c>
      <c r="J29" s="7" t="s">
        <v>237</v>
      </c>
      <c r="K29" s="8" t="s">
        <v>23</v>
      </c>
      <c r="L29" s="7" t="s">
        <v>221</v>
      </c>
      <c r="M29" s="7" t="s">
        <v>222</v>
      </c>
    </row>
    <row r="30" spans="1:13" ht="51" x14ac:dyDescent="0.2">
      <c r="A30" s="7" t="s">
        <v>238</v>
      </c>
      <c r="B30" s="7" t="s">
        <v>214</v>
      </c>
      <c r="C30" s="7" t="s">
        <v>49</v>
      </c>
      <c r="D30" s="7" t="s">
        <v>27</v>
      </c>
      <c r="E30" s="7" t="s">
        <v>239</v>
      </c>
      <c r="F30" s="7" t="s">
        <v>240</v>
      </c>
      <c r="G30" s="7" t="s">
        <v>241</v>
      </c>
      <c r="H30" s="7" t="s">
        <v>242</v>
      </c>
      <c r="I30" s="7" t="s">
        <v>243</v>
      </c>
      <c r="J30" s="7" t="s">
        <v>244</v>
      </c>
      <c r="K30" s="8" t="s">
        <v>23</v>
      </c>
      <c r="L30" s="7" t="s">
        <v>221</v>
      </c>
      <c r="M30" s="7" t="s">
        <v>245</v>
      </c>
    </row>
    <row r="31" spans="1:13" ht="51" x14ac:dyDescent="0.2">
      <c r="A31" s="7" t="s">
        <v>246</v>
      </c>
      <c r="B31" s="7" t="s">
        <v>214</v>
      </c>
      <c r="C31" s="7" t="s">
        <v>247</v>
      </c>
      <c r="D31" s="7" t="s">
        <v>16</v>
      </c>
      <c r="E31" s="7" t="s">
        <v>248</v>
      </c>
      <c r="F31" s="7" t="s">
        <v>249</v>
      </c>
      <c r="G31" s="7" t="s">
        <v>250</v>
      </c>
      <c r="H31" s="7" t="s">
        <v>251</v>
      </c>
      <c r="I31" s="7" t="s">
        <v>252</v>
      </c>
      <c r="J31" s="7" t="s">
        <v>253</v>
      </c>
      <c r="K31" s="8" t="s">
        <v>23</v>
      </c>
      <c r="L31" s="7" t="s">
        <v>254</v>
      </c>
      <c r="M31" s="7" t="s">
        <v>245</v>
      </c>
    </row>
    <row r="32" spans="1:13" ht="51" x14ac:dyDescent="0.2">
      <c r="A32" s="7" t="s">
        <v>255</v>
      </c>
      <c r="B32" s="7" t="s">
        <v>214</v>
      </c>
      <c r="C32" s="7" t="s">
        <v>256</v>
      </c>
      <c r="D32" s="7" t="s">
        <v>16</v>
      </c>
      <c r="E32" s="7" t="s">
        <v>257</v>
      </c>
      <c r="F32" s="7" t="s">
        <v>258</v>
      </c>
      <c r="G32" s="7" t="s">
        <v>259</v>
      </c>
      <c r="H32" s="7" t="s">
        <v>260</v>
      </c>
      <c r="I32" s="7" t="s">
        <v>261</v>
      </c>
      <c r="J32" s="7" t="s">
        <v>262</v>
      </c>
      <c r="K32" s="8" t="s">
        <v>23</v>
      </c>
      <c r="L32" s="7" t="s">
        <v>263</v>
      </c>
      <c r="M32" s="7" t="s">
        <v>245</v>
      </c>
    </row>
    <row r="33" spans="1:13" ht="51" x14ac:dyDescent="0.2">
      <c r="A33" s="7" t="s">
        <v>264</v>
      </c>
      <c r="B33" s="7" t="s">
        <v>214</v>
      </c>
      <c r="C33" s="7" t="s">
        <v>64</v>
      </c>
      <c r="D33" s="7" t="s">
        <v>27</v>
      </c>
      <c r="E33" s="7" t="s">
        <v>265</v>
      </c>
      <c r="F33" s="7" t="s">
        <v>266</v>
      </c>
      <c r="G33" s="7" t="s">
        <v>267</v>
      </c>
      <c r="H33" s="7" t="s">
        <v>268</v>
      </c>
      <c r="I33" s="7" t="s">
        <v>269</v>
      </c>
      <c r="J33" s="7" t="s">
        <v>270</v>
      </c>
      <c r="K33" s="9" t="s">
        <v>212</v>
      </c>
      <c r="L33" s="7" t="s">
        <v>221</v>
      </c>
      <c r="M33" s="7" t="s">
        <v>245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/>
  </sheetViews>
  <sheetFormatPr baseColWidth="10" defaultColWidth="8.6640625" defaultRowHeight="15" x14ac:dyDescent="0.2"/>
  <cols>
    <col min="1" max="1" width="18" customWidth="1"/>
    <col min="2" max="4" width="10" customWidth="1"/>
    <col min="5" max="5" width="12" customWidth="1"/>
  </cols>
  <sheetData>
    <row r="1" spans="1:5" ht="17" x14ac:dyDescent="0.2">
      <c r="A1" s="2" t="s">
        <v>271</v>
      </c>
      <c r="B1" s="2"/>
      <c r="C1" s="2"/>
      <c r="D1" s="2"/>
      <c r="E1" s="2"/>
    </row>
    <row r="3" spans="1:5" x14ac:dyDescent="0.2">
      <c r="A3" s="3" t="s">
        <v>272</v>
      </c>
    </row>
    <row r="4" spans="1:5" x14ac:dyDescent="0.2">
      <c r="A4" s="3" t="s">
        <v>1</v>
      </c>
      <c r="B4" s="3" t="s">
        <v>273</v>
      </c>
      <c r="C4" s="3" t="s">
        <v>23</v>
      </c>
      <c r="D4" s="3" t="s">
        <v>62</v>
      </c>
      <c r="E4" s="3" t="s">
        <v>274</v>
      </c>
    </row>
    <row r="5" spans="1:5" x14ac:dyDescent="0.2">
      <c r="A5" t="s">
        <v>14</v>
      </c>
      <c r="B5">
        <f>COUNTIF('Test Cases'!B:B,A5)</f>
        <v>10</v>
      </c>
      <c r="C5">
        <f>COUNTIFS('Test Cases'!B:B,A5,'Test Cases'!K:K,"Pass")</f>
        <v>8</v>
      </c>
      <c r="D5">
        <f>B5-C5</f>
        <v>2</v>
      </c>
      <c r="E5" s="4">
        <f>IFERROR(C5/B5,0)</f>
        <v>0.8</v>
      </c>
    </row>
    <row r="6" spans="1:5" x14ac:dyDescent="0.2">
      <c r="A6" t="s">
        <v>94</v>
      </c>
      <c r="B6">
        <f>COUNTIF('Test Cases'!B:B,A6)</f>
        <v>8</v>
      </c>
      <c r="C6">
        <f>COUNTIFS('Test Cases'!B:B,A6,'Test Cases'!K:K,"Pass")</f>
        <v>7</v>
      </c>
      <c r="D6">
        <f>B6-C6</f>
        <v>1</v>
      </c>
      <c r="E6" s="4">
        <f>IFERROR(C6/B6,0)</f>
        <v>0.875</v>
      </c>
    </row>
    <row r="7" spans="1:5" x14ac:dyDescent="0.2">
      <c r="A7" t="s">
        <v>157</v>
      </c>
      <c r="B7">
        <f>COUNTIF('Test Cases'!B:B,A7)</f>
        <v>7</v>
      </c>
      <c r="C7">
        <f>COUNTIFS('Test Cases'!B:B,A7,'Test Cases'!K:K,"Pass")</f>
        <v>6</v>
      </c>
      <c r="D7">
        <f>B7-C7</f>
        <v>1</v>
      </c>
      <c r="E7" s="4">
        <f>IFERROR(C7/B7,0)</f>
        <v>0.8571428571428571</v>
      </c>
    </row>
    <row r="8" spans="1:5" x14ac:dyDescent="0.2">
      <c r="A8" t="s">
        <v>214</v>
      </c>
      <c r="B8">
        <f>COUNTIF('Test Cases'!B:B,A8)</f>
        <v>7</v>
      </c>
      <c r="C8">
        <f>COUNTIFS('Test Cases'!B:B,A8,'Test Cases'!K:K,"Pass")</f>
        <v>6</v>
      </c>
      <c r="D8">
        <f>B8-C8</f>
        <v>1</v>
      </c>
      <c r="E8" s="4">
        <f>IFERROR(C8/B8,0)</f>
        <v>0.8571428571428571</v>
      </c>
    </row>
    <row r="9" spans="1:5" x14ac:dyDescent="0.2">
      <c r="A9" s="3" t="s">
        <v>273</v>
      </c>
      <c r="B9" s="3">
        <f>SUM(B5:B8)</f>
        <v>32</v>
      </c>
      <c r="C9" s="3">
        <f>SUM(C5:C8)</f>
        <v>27</v>
      </c>
      <c r="D9" s="3">
        <f>SUM(D5:D8)</f>
        <v>5</v>
      </c>
      <c r="E9" s="5">
        <f>IFERROR(C9/B9,0)</f>
        <v>0.84375</v>
      </c>
    </row>
    <row r="11" spans="1:5" x14ac:dyDescent="0.2">
      <c r="A11" s="3" t="s">
        <v>275</v>
      </c>
    </row>
    <row r="12" spans="1:5" x14ac:dyDescent="0.2">
      <c r="A12" s="3" t="s">
        <v>3</v>
      </c>
      <c r="B12" s="3" t="s">
        <v>273</v>
      </c>
      <c r="C12" s="3" t="s">
        <v>23</v>
      </c>
      <c r="D12" s="3" t="s">
        <v>62</v>
      </c>
      <c r="E12" s="3" t="s">
        <v>274</v>
      </c>
    </row>
    <row r="13" spans="1:5" x14ac:dyDescent="0.2">
      <c r="A13" t="s">
        <v>16</v>
      </c>
      <c r="B13">
        <f>COUNTIF('Test Cases'!D:D,A13)</f>
        <v>21</v>
      </c>
      <c r="C13">
        <f>COUNTIFS('Test Cases'!D:D,A13,'Test Cases'!K:K,"Pass")</f>
        <v>21</v>
      </c>
      <c r="D13">
        <f>B13-C13</f>
        <v>0</v>
      </c>
      <c r="E13" s="4">
        <f>IFERROR(C13/B13,0)</f>
        <v>1</v>
      </c>
    </row>
    <row r="14" spans="1:5" x14ac:dyDescent="0.2">
      <c r="A14" t="s">
        <v>27</v>
      </c>
      <c r="B14">
        <f>COUNTIF('Test Cases'!D:D,A14)</f>
        <v>11</v>
      </c>
      <c r="C14">
        <f>COUNTIFS('Test Cases'!D:D,A14,'Test Cases'!K:K,"Pass")</f>
        <v>6</v>
      </c>
      <c r="D14">
        <f>B14-C14</f>
        <v>5</v>
      </c>
      <c r="E14" s="4">
        <f>IFERROR(C14/B14,0)</f>
        <v>0.54545454545454541</v>
      </c>
    </row>
    <row r="16" spans="1:5" ht="41.75" customHeight="1" x14ac:dyDescent="0.2">
      <c r="A16" s="1" t="s">
        <v>276</v>
      </c>
      <c r="B16" s="1"/>
      <c r="C16" s="1"/>
      <c r="D16" s="1"/>
      <c r="E16" s="1"/>
    </row>
  </sheetData>
  <mergeCells count="2">
    <mergeCell ref="A1:E1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2026-08-12T03:24:04Z</dcterms:created>
  <dcterms:modified xsi:type="dcterms:W3CDTF">2026-08-12T16:19:17Z</dcterms:modified>
  <dc:language>en-US</dc:language>
</cp:coreProperties>
</file>